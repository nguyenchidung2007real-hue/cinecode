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ÀNH VIÊN DỰ ÁN" sheetId="1" r:id="rId5"/>
    <sheet state="visible" name="CHỨC NĂNG" sheetId="2" r:id="rId6"/>
    <sheet state="visible" name="khảo sát" sheetId="3" r:id="rId7"/>
  </sheets>
  <definedNames/>
  <calcPr/>
</workbook>
</file>

<file path=xl/sharedStrings.xml><?xml version="1.0" encoding="utf-8"?>
<sst xmlns="http://schemas.openxmlformats.org/spreadsheetml/2006/main" count="462" uniqueCount="406">
  <si>
    <t>CHỨC NĂNG DỰ ÁN CINEMAX AI — WEB ĐẶT VÉ XEM PHIM THÔNG MINH</t>
  </si>
  <si>
    <t>THÔNG TIN DỰ ÁN</t>
  </si>
  <si>
    <t>- Công nghệ sử dụng:</t>
  </si>
  <si>
    <t>KHẢO SÁT</t>
  </si>
  <si>
    <t>Front-end:
  Next.js 14 App Router (React 18)
  TypeScript &amp; Tailwind CSS
  Lucide Icons &amp; Framer Motion</t>
  </si>
  <si>
    <t>Tên Dự Án</t>
  </si>
  <si>
    <t>Back-end:
  Next.js Server Actions &amp; API Handlers
  Node.js Crypto (HMAC-SHA256)
  Upstash Redis REST KV &amp; Lua Scripts
  Groq LPU Llama 3.3 70B AI
  TMDB Live API v3 &amp; VietQR Napas 247</t>
  </si>
  <si>
    <t>Cinemax</t>
  </si>
  <si>
    <t>Phân quyền</t>
  </si>
  <si>
    <t>Chức năng</t>
  </si>
  <si>
    <t>Mô tả chi tiết (Luồng xử lý, Trang danh sách, Thêm, Sửa, Xóa, Lọc...)</t>
  </si>
  <si>
    <t>Người làm</t>
  </si>
  <si>
    <t>Khó khăn / Thách thức kỹ thuật</t>
  </si>
  <si>
    <t>Admin</t>
  </si>
  <si>
    <t>Quản lý phim</t>
  </si>
  <si>
    <t>- Trang danh sách:
   + Hiển thị danh sách phim có phân trang (15, 30, 45 bản ghi)
   + Thay đổi được số bản ghi trên một trang
   + Tìm kiếm theo tên phim, thể loại
   + Lọc theo trạng thái: Đang chiếu (now_playing), Sắp chiếu (upcoming), Nổi bật (trending)
   + Sắp xếp tăng dần, giảm dần theo tên, ngày phát hành, thời lượng, điểm đánh giá
   + Có thể thay đổi trạng thái hiển thị phim
   + Chuyển vào thùng rác một phim
   + Chuyển vào thùng rác nhiều phim
- Trang thùng rác:
   + Hiển thị danh sách phim đã xóa có phân trang
   + Tìm kiếm theo tên phim trong thùng rác
   + Khôi phục một phim &amp; khôi phục nhiều phim
   + Xóa vĩnh viễn một &amp; xóa vĩnh viễn nhiều phim
- Trang chi tiết phim: Hiển thị đầy đủ poster, trailer YouTube, thời lượng, độ tuổi (T18, T16, P), diễn viên
- Trang thêm mới phim: Tự động điền dữ liệu bằng cách nhập mã TMDB ID hoặc nhập thủ công
- Trang sửa phim: Cập nhật thông tin, poster, độ tuổi, phân loại</t>
  </si>
  <si>
    <t>Dũng</t>
  </si>
  <si>
    <t>Hình ảnh poster dung lượng lớn làm chậm tốc độ tải trang. Khắc phục bằng Next.js Image Optimization nén WebP và CDN Cache s-maxage=120s.</t>
  </si>
  <si>
    <t>Kết quả</t>
  </si>
  <si>
    <t>Quản lý suất chiếu</t>
  </si>
  <si>
    <t>- Trang danh sách suất chiếu:
   + Hiển thị lịch chiếu theo từng phòng và từng cụm rạp có phân trang
   + Lọc suất chiếu theo ngày (hôm nay, ngày mai, 7 ngày tới) và theo định dạng (2D, IMAX, ScreenX)
   + Tìm kiếm theo tên phim hoặc tên phòng chiếu
   + Xem số lượng ghế đã bán / ghế còn trống thời gian thực
   + Hủy suất chiếu đơn lẻ hoặc nhiều suất
- Trang thêm mới suất chiếu:
   + Chọn cụm rạp, chọn phòng chiếu, chọn phim và ngày chiếu
   + Chọn giờ bắt đầu chiếu (HH:mm)
   + Tự động kích hoạt Showtime Collision Engine: Tính toán thời lượng phim + 10 phút trailer + 15 phút dọn phòng vệ sinh
   + Nếu trùng giờ chiếu với phim khác: Báo lỗi 409 Xung đột lịch chiếu và tự động đề xuất 3 khung giờ trống gần nhất của phòng đó
- Nút Đồng bộ lịch chiếu Beta Cinemas:
   + Crawl và đồng bộ tự động toàn bộ lịch chiếu từ rạp Beta Cinemas Xuân Thủy vào hệ thống
- Trang sửa suất chiếu: Điều chỉnh giờ chiếu, đổi phòng chiếu</t>
  </si>
  <si>
    <t>Tên Đề Tài</t>
  </si>
  <si>
    <t>Website bán vé xem phim</t>
  </si>
  <si>
    <t>STT</t>
  </si>
  <si>
    <t>Tên Hạng Mục / Báo Cáo</t>
  </si>
  <si>
    <t>Định dạng File</t>
  </si>
  <si>
    <t>Khảo sát online</t>
  </si>
  <si>
    <t>GVHD</t>
  </si>
  <si>
    <t>Nguyễn Thành Trung</t>
  </si>
  <si>
    <t>Tuấn</t>
  </si>
  <si>
    <t>Leader</t>
  </si>
  <si>
    <t>Nguy cơ xung đột lịch phòng chiếu giữa 2 phim nối tiếp nhau. Khắc phục bằng giải thuật Collision Engine kiểm tra khoảng giao thời gian [start, start + duration + 25p].</t>
  </si>
  <si>
    <t>Link meet</t>
  </si>
  <si>
    <t>https://meet.google.com/yux-edjs-hbe?authuser=0</t>
  </si>
  <si>
    <t>Quản lý đơn hàng &amp; Vé</t>
  </si>
  <si>
    <t>- Trang danh sách đơn vé:
   + Hiển thị toàn bộ vé đặt trên hệ thống có phân trang (15, 30, 45)
   + Tìm kiếm theo Mã đặt vé (bookingId), Số điện thoại khách hàng, Tên phim
   + Lọc theo trạng thái: Chờ thanh toán, Đã thanh toán (valid), Đã soát vào rạp (used), Đã hủy/hoàn (void)
   + Sắp xếp theo ngày đặt, tổng tiền thanh toán
- Trang chi tiết đơn vé:
   + Xem thông tin người mua, chi tiết các ghế đã chọn (A1, A2...)
   + Xem combo bắp nước đi kèm, mã giảm giá voucher đã áp dụng
   + Xem chuỗi mã QR soát vé và trạng thái chữ ký số HMAC
- Xử lý hoàn vé &amp; Hủy vé:
   + Nút 'Hủy vé &amp; Trả ghế': Chuyển trạng thái vé sang void, tự động giải phóng ghế trong Redis showtime store
   + Cập nhật trạng thái hoàn tiền cho khách</t>
  </si>
  <si>
    <t>Minh</t>
  </si>
  <si>
    <t>Khối lượng vé lớn gây nghẽn truy vấn. Khắc phục bằng phân trang phía Server (Server-side Pagination) kết hợp Indexing trên bookingId và phone.</t>
  </si>
  <si>
    <t>Quản lý F&amp;B (Bắp nước)</t>
  </si>
  <si>
    <t>- Trang danh sách bắp nước &amp; combo:
   + Hiển thị danh sách combo (Beta Solo, Combo Couple, Party) có phân trang
   + Tìm kiếm theo tên sản phẩm
   + Thay đổi trạng thái Còn hàng / Tạm hết hàng
   + Xóa một hoặc xóa nhiều sản phẩm
- Trang thêm mới combo bắp nước:
   + Nhập tên combo, giá bán, hình ảnh minh họa
   + Cấu hình các vị bắp (Ngọt truyền thống, Phô mai +10k, Caramel +10k)
   + Cấu hình số ngăn bắp tối đa (1 ngăn, 2 ngăn) và size nước (22oz, 32oz)
- Trang sửa combo: Cập nhật giá bán, mô tả, vị bắp</t>
  </si>
  <si>
    <t>Khách hàng can thiệp gửi số lượng vị bắp vượt quá số ngăn quy định. Khắc phục bằng cơ chế Validation Matrix phía Server trước khi tính tổng tiền.</t>
  </si>
  <si>
    <t>Quản lý mã giảm giá (Voucher)</t>
  </si>
  <si>
    <t>- Trang danh sách voucher:
   + Hiển thị danh sách mã ưu đãi có phân trang (15, 30, 45)
   + Tìm kiếm theo mã voucher (VD: SINHVIEN20, BETA50K)
   + Sắp xếp theo ngày tạo, ngày hết hạn, số lượt đã dùng
   + Bật / Tắt trạng thái kích hoạt của mã
   + Xóa một hoặc nhiều voucher vào thùng rác
- Trang thêm mới voucher:
   + Nhập mã code, loại giảm giá (% hoặc số tiền cố định VNĐ)
   + Thiết lập giá trị đơn tối thiểu, mức giảm tối đa
   + Thiết lập tổng số lượt sử dụng tối đa và thời hạn áp dụng (start_date, end_date)
- Trang sửa voucher: Cập nhật hạn mức, gia hạn ngày</t>
  </si>
  <si>
    <t>Nguy cơ khách áp dụng đồng thời voucher vượt quá số lượt cho phép. Khắc phục bằng Atomic Redis Counter và kiểm tra Unique Phone.</t>
  </si>
  <si>
    <t>Quản lý đánh giá &amp; Bình luận</t>
  </si>
  <si>
    <t>- Trang danh sách đánh giá:
   + Xem danh sách nhận xét phim của khán giả theo số sao (1-5 sao)
   + Lọc theo phim, lọc theo trạng thái: Chờ duyệt, Đã duyệt, Đã ẩn
   + Tìm kiếm theo số điện thoại người đánh giá hoặc nội dung bình luận
   + Phê duyệt hoặc ẩn nhận xét vi phạm tiêu chuẩn cộng đồng
   + Xóa nhận xét spam</t>
  </si>
  <si>
    <t>Bình luận spam và nhận xét ảo không mua vé. Khắc phục bằng cơ chế Verified Review (chỉ tài khoản có bookingId hợp lệ mới được gửi đánh giá).</t>
  </si>
  <si>
    <t>Thống kê &amp; Báo cáo Dashboard</t>
  </si>
  <si>
    <t>- Thống kê tổng quan KPI:
   + Tổng doanh thu bán vé &amp; bắp nước (theo ngày, tuần, tháng)
   + Số lượng vé đã bán và tỷ lệ lấp đầy ghế bình quân (Occupancy Rate)
   + Top 5 bộ phim có doanh thu cao nhất phòng vé
   + Thống kê theo từng cụm rạp và từng phòng chiếu
- Biểu đồ doanh thu trực quan:
   + Biểu đồ đường tăng trưởng doanh thu 30 ngày gần nhất
   + Biểu đồ tròn cơ cấu doanh thu: Tiền vé (80%) vs Tiền bắp nước F&amp;B (20%)</t>
  </si>
  <si>
    <t>Phân tích Website CGV Cinemas</t>
  </si>
  <si>
    <t>Truy vấn aggregate dữ liệu lớn làm chậm Dashboard. Khắc phục bằng Pre-calculated Cache lưu trữ các mốc thống kê định kỳ.</t>
  </si>
  <si>
    <t>Xác thực &amp; Bảo mật Quản trị</t>
  </si>
  <si>
    <t>File Markdown (.md)</t>
  </si>
  <si>
    <t>- Trang đăng nhập quản trị riêng biệt (/admin/login):
   + Nhập mật khẩu quản trị bảo mật
   + Khóa tạm thời 5 phút sau 8 lần nhập sai liên tiếp (Chống Brute Force)
   + Cấp cookie phiên HMAC-SHA256 với cờ HttpOnly, SameSite=Strict, Secure
- Đăng xuất quản trị:
   + Nút Đăng xuất xóa sạch cookie phiên, vô hiệu hóa token và chuyển hướng an toàn</t>
  </si>
  <si>
    <t>Nguy cơ tấn công dò quét mật khẩu quản trị. Khắc phục bằng cơ chế Rate Limiting theo IP và mã hóa Session Cookie chuẩn HMAC.</t>
  </si>
  <si>
    <t>Nhân viên</t>
  </si>
  <si>
    <t>Xác thực nhân viên soát vé</t>
  </si>
  <si>
    <t>- Trang đăng nhập cổng nhân viên (/scanner):
   + Nhập Mã nhân viên (Staff ID) và Mật khẩu bảo mật (Passcode)
   + Xác thực theo danh sách ca trực được phân quyền
   + Ghi nhận tên nhân viên và mã ca trực vào phiên làm việc
- Đăng xuất ca trực khi hết giờ</t>
  </si>
  <si>
    <t>Nhân viên quên đăng xuất khiến người khác thao tác nhầm. Khắc phục bằng tự động hết hạn phiên ca trực sau 8 tiếng.</t>
  </si>
  <si>
    <t>Soát vé điện tử (QR Scanner)</t>
  </si>
  <si>
    <t>Phân tích Website Galaxy Cinema</t>
  </si>
  <si>
    <t>- Quét mã QR bằng Camera thiết bị:
   + Kích hoạt Camera điện thoại hoặc máy tính bảng của rạp
   + Tự động căn khung lấy nét và nhận diện chuỗi QR định dạng cinemax:ticket:bookingId:token
   + Báo âm thanh Bíp thành công và rung nhẹ trên thiết bị
- Xác thực tính toàn vẹn vé &amp; Chống giả mạo:
   + Server băm lại HMAC-SHA256(bookingId + secret) và dùng timingSafeEqual so sánh với chuỗi token trên vé
   + Nếu token bị sai lệch -&gt; Báo động đỏ: 'VÉ GIẢ MẠO HOẶC ĐÃ BỊ CHỈNH SỬA' ngay lập tức
- Chống quét trùng vé (Anti-Replay Attack):
   + Thực thi lệnh Redis SETNX cinemax:ticket:used:&lt;id&gt;
   + Nếu vé đã được soát trước đó: Báo động đỏ: 'VÉ ĐÃ SỬ DỤNG' kèm thời gian quét và tên nhân viên đã soát trước đó
- Cho phép vào rạp:
   + Màn hình xanh hiển thị: Tên phim, Giờ chiếu, Phòng chiếu, Số ghế ngồi hợp lệ</t>
  </si>
  <si>
    <t>Lịch họp</t>
  </si>
  <si>
    <t xml:space="preserve"> --</t>
  </si>
  <si>
    <t>Phân tích Website Lotte Cinema</t>
  </si>
  <si>
    <t>DANH SÁCH THÀNH VIÊN VÀ PHÂN CÔNG TRÁCH NHIỆM</t>
  </si>
  <si>
    <t>Dự án CineMax AI — 4 Thành viên (Không bao gồm Đặng Quốc Toản)</t>
  </si>
  <si>
    <t>Phân tích Website Beta Cinemas</t>
  </si>
  <si>
    <t>Họ và Tên</t>
  </si>
  <si>
    <t>Vai Trò / Vị Trí</t>
  </si>
  <si>
    <t>Tên Viết Tắt (Trong bảng)</t>
  </si>
  <si>
    <t>Khách hàng chụp màn hình mã QR gửi cho người khác cùng vào rạp hoặc 2 nhân viên quét cùng lúc. Khắc phục bằng Atomic Redis SETNX đảm bảo chỉ duy nhất 1 lần quét hợp lệ.</t>
  </si>
  <si>
    <t>Phân Hệ Phụ Trách</t>
  </si>
  <si>
    <t>Nhiệm Vụ Cụ Thể Trong Dự Án</t>
  </si>
  <si>
    <t>Nguyễn Chí Dũng</t>
  </si>
  <si>
    <t>Tra cứu vé thủ công</t>
  </si>
  <si>
    <t>- Ô tìm kiếm nhanh khi khách hết pin điện thoại hoặc không mở được QR:
   + Nhập Mã đặt vé (bookingId) hoặc Số điện thoại người mua
   + Hiển thị thông tin vé, số ghế, trạng thái thanh toán
   + Nút 'Xác nhận vào rạp thủ công' cho nhân viên đối soát thực tế</t>
  </si>
  <si>
    <t>Khách đọc nhầm số điện thoại. Khắc phục bằng đối chiếu thêm tên khách hàng và 4 số cuối số điện thoại.</t>
  </si>
  <si>
    <t>Thống kê ca trực</t>
  </si>
  <si>
    <t>- Xem báo cáo nhanh ca trực tại cổng soát vé:
   + Tổng số lượt khách đã soát thành công vào rạp trong ca trực
   + Số lượng vé lỗi / vé giả mạo phát hiện được
   + Danh sách các vé vừa soát gần nhất</t>
  </si>
  <si>
    <t>Đồng bộ dữ liệu ca trực khi mạng rạp chập chờn. Khắc phục bằng LocalStorage Offline Queue tự đồng bộ khi có mạng.</t>
  </si>
  <si>
    <t>Khách hàng</t>
  </si>
  <si>
    <t>Xác thực &amp; Ví vé cá nhân</t>
  </si>
  <si>
    <t>- Trang Dashboard cá nhân (/dashboard):
   + Đăng nhập nhanh bằng Số điện thoại (Phone Auth Gate)
   + Xem danh sách toàn bộ các vé đã mua theo trạng thái: Vé sắp xem, Vé đã xem, Vé đã hủy
   + Mở lại mã QR vé điện tử bất kỳ lúc nào để trình cho nhân viên rạp soát vé
   + Tuyệt đối tách biệt, không lộ bất kỳ nút hay quyền hạn của Admin / Nhân viên</t>
  </si>
  <si>
    <t>Khách hàng vào nhầm link quản trị hoặc thấy các nút của admin. Khắc phục bằng cơ chế Route Guard phân quyền nghiêm ngặt 3 tầng.</t>
  </si>
  <si>
    <t>Khảo sát offline</t>
  </si>
  <si>
    <t>Trưởng Nhóm / Fullstack Lead &amp; AI Integration</t>
  </si>
  <si>
    <t>CHƯA</t>
  </si>
  <si>
    <t>Khám phá phim &amp; Trang chủ</t>
  </si>
  <si>
    <t>- Trang chủ hiển thị danh mục phim chuẩn rạp chiếu:
   + Tab Phim Đang Chiếu, Phim Sắp Chiếu, Suất Chiếu Đặc Biệt
   + Dữ liệu trực tiếp từ TMDB API v3 kết hợp danh mục phim rạp Việt Nam
   + Thanh tìm kiếm nhanh theo tiêu đề phim
   + Lọc phim theo thể loại (Hành động, Kinh dị, Hoạt hình, Tình cảm...) và độ tuổi (P, T13, T16, T18)
   + Xem trailer YouTube, điểm đánh giá khán giả, nội dung tóm tắt phim</t>
  </si>
  <si>
    <t>Khảo sát form người dùng</t>
  </si>
  <si>
    <t>Nguyễn Hải Đăng</t>
  </si>
  <si>
    <t>BÁO CÁO &amp; KẾ HOẠCH TOÀN DIỆN DỰ ÁN NỀN TẢNG BÁN VÉ XEM PHIM (CINEMAX AI)</t>
  </si>
  <si>
    <t>Database Architect &amp; Backend Engineer</t>
  </si>
  <si>
    <t>Dự án: Omnichannel Cinema Booking Platform | Mục tiêu: Hệ thống chịu tải cao (High Concurrency), Chống giữ ghế ma (Zombie Seats), Thanh toán bất biến (Idempotency), Tích hợp AI siêu tốc</t>
  </si>
  <si>
    <t>Dữ liệu API TMDB có độ trễ kết nối quốc tế. Khắc phục bằng cơ chế Fallback sang danh mục phim nội bộ lưu sẵn trong hệ thống.</t>
  </si>
  <si>
    <t>Tiêu chí khảo sát</t>
  </si>
  <si>
    <t>Đăng</t>
  </si>
  <si>
    <t>AI Hỗ trợ tìm kiếm &amp; Tư vấn</t>
  </si>
  <si>
    <t>- Tìm kiếm thông minh Spotlight AI (Phím tắt Ctrl+K):
   + Người dùng gõ câu hỏi bằng ngôn ngữ tự nhiên (VD: 'phim hành động cháy nổ cuối tuần này')
   + Mô hình Hugging Face Semantic Search RAG trích xuất ngữ nghĩa và tìm phim phù hợp trong 0.2 giây
- CineBot AI tư vấn phim theo cảm xúc:
   + Chatbot AI góc màn hình đóng vai chuyên gia điện ảnh CineMax
   + Khách chia sẻ tâm trạng (buồn, stress, hẹn hò), AI phân tích và đề xuất phim kèm lý do
   + Tự động nhận diện số lượng người xem (party size) và cung cấp nút chọn phim vào thẳng phòng vé 1-click</t>
  </si>
  <si>
    <t>Độ trễ xử lý ngôn ngữ tự nhiên của AI. Khắc phục bằng hạ tầng Groq LPU tốc độ ~500 tokens/giây và Streaming Text tức thời.</t>
  </si>
  <si>
    <t>Nguyễn Văn Tuấn</t>
  </si>
  <si>
    <t>Backend Services &amp; Business Logic Engineer</t>
  </si>
  <si>
    <t>Đặt vé &amp; Chọn suất chiếu</t>
  </si>
  <si>
    <t>Đào Duy Minh</t>
  </si>
  <si>
    <t>Frontend Lead &amp; Security Engineer</t>
  </si>
  <si>
    <t>- Thanh Đặt Vé Nhanh (Quick Booking Bar):
   + Cố định đầu trang: 1-Click Chọn Phim -&gt; Chọn Cụm Rạp -&gt; Chọn Ngày -&gt; Chọn Suất Chiếu -&gt; MUA VÉ NGAY
   + Tự động nhận diện suất chiếu khả dụng gần nhất
- Modal Đặt Vé Bước 1 (Chọn rạp &amp; Giờ chiếu):
   + Danh sách cụm rạp: Beta Cinemas Xuân Thủy, CGV Vincom...
   + Chọn ngày chiếu (Hôm nay, Ngày mai, Ngày kia)
   + Hiển thị khung giờ chiếu theo định dạng (2D Phụ đề, IMAX, ScreenX)
   + Tự động ẩn suất đã qua giờ chiếu; Nút 'Tiếp tục: Chọn ghế' luôn kích hoạt chính xác</t>
  </si>
  <si>
    <t>Khách chọn nhầm suất đã qua giờ chiếu dẫn đến lỗi không tiếp tục được. Khắc phục bằng bộ lọc thời gian tương lai và tự động chọn suất khả dụng.</t>
  </si>
  <si>
    <t>Nhóm 1: Gen Z &amp; Học sinh - Sinh viên</t>
  </si>
  <si>
    <t>Nhóm 2: Cặp đôi hẹn hò (Young Couples)</t>
  </si>
  <si>
    <t>Sơ đồ chọn ghế tương tác</t>
  </si>
  <si>
    <t>Nhóm 3: Gia đình (Parents &amp; Kids)</t>
  </si>
  <si>
    <t>Nhóm 4: Tín đồ điện ảnh (Cinephiles)</t>
  </si>
  <si>
    <t>Nhóm 5: Khách đi xem một mình (Solo Viewers)</t>
  </si>
  <si>
    <t>- Sơ đồ 102 ghế chuẩn Beta Cinemas:
   + Ma trận 9 hàng A-K x 12 cột hiển thị trực quan
   + Phân tầng màu sắc: Ghế Standard (55.000đ), Ghế VIP (75.000đ), Ghế đôi Sweetbox hàng K (130.000đ/cặp)
   + Cập nhật trạng thái ghế: Trống (xám), Đang chọn (xanh), Đang có người giữ (vàng), Đã bán (đỏ)
   + Cho phép chọn tối đa 8 ghế/lần đặt
- Thuật toán chống ghế mồ côi (Orphan Seat Rule):
   + Không cho phép để lại 1 ghế trống đơn độc ở đầu hàng, cuối hàng hoặc giữa 2 khách khác
   + Cảnh báo trực quan màu đỏ và hướng dẫn khách chọn hợp lệ
- Mô phỏng góc nhìn rạp 3D (View From Seat):
   + Nhấp vào ghế để xem góc nhìn thực tế lên màn chiếu từ vị trí đó, làm nổi bật khu vực Sweet Spot (Hàng E, F)</t>
  </si>
  <si>
    <t>Sơ đồ 102 ghế bị chậm trên điện thoại. Khắc phục bằng tối ưu hóa React Virtualization và vẽ phẳng bằng CSS Grid hiện đại.</t>
  </si>
  <si>
    <t>Độ tuổi &amp; Nghề nghiệp</t>
  </si>
  <si>
    <t>Giữ ghế nguyên tử 300 giây</t>
  </si>
  <si>
    <t>- Cơ chế giữ ghế thời gian thực (Seat Hold):
   + Ngay khi khách chọn ghế xong và bấm tiếp tục, hệ thống lập tức khóa các ghế đó trong 300 giây (5 phút)
   + Đồng hồ đếm ngược thời gian thực trên màn hình thanh toán
   + Trong 300 giây này, không bất kỳ ai khác trên toàn mạng có thể chọn trùng ghế (Chống Overbooking 100%)
   + Nếu hết 300 giây chưa thanh toán, hệ thống tự động giải phóng ghế trở lại trạng thái trống cho người khác chọn</t>
  </si>
  <si>
    <t>Nhiều khách hàng cùng bấm giữ 1 ghế ở cùng 1 phần nghìn giây (Race Condition). Khắc phục bằng Upstash Redis Lua Script thực thi nguyên tử atomic.</t>
  </si>
  <si>
    <t>16 – 23 tuổi; Học sinh, sinh viên</t>
  </si>
  <si>
    <t>Chọn bắp nước (F&amp;B Upsell)</t>
  </si>
  <si>
    <t>- Thêm bắp nước vào vé:
   + Chọn các combo tiện lợi (Beta Solo 1 bắp 1 nước, Combo Đôi 1 bắp 2 nước, Party Combo)
   + Chọn vị bắp: Ngọt truyền thống, Phô mai (+10k), Caramel (+10k)
   + Tùy chọn Upsize ly nước ngọt khổng lồ 32oz (+12k)
   + Tự động cộng dồn tiền bắp nước minh bạch vào tổng tiền đơn hàng</t>
  </si>
  <si>
    <t>Xử lý tùy chọn vị bắp linh hoạt theo số ngăn. Khắc phục bằng component selector kiểm soát chặt chẽ số lượng ngăn bắp.</t>
  </si>
  <si>
    <t>20 – 30 tuổi; Nhân viên văn phòng, người trẻ</t>
  </si>
  <si>
    <t>28 – 45 tuổi; Bố mẹ có con 3 – 12 tuổi</t>
  </si>
  <si>
    <t>Thanh toán VietQR &amp; MoMo</t>
  </si>
  <si>
    <t>22 – 40 tuổi; Dân mê phim, sáng tạo, IT</t>
  </si>
  <si>
    <t>18 – 35 tuổi; Đi học/đi làm</t>
  </si>
  <si>
    <t>- Thanh toán không tiền mặt tiện lợi:
   + Sinh mã VietQR động chuẩn Napas 247 chứa chính xác số tiền, số tài khoản và nội dung mã vé
   + Nút bấm sao chép nhanh số tài khoản &amp; nội dung chuyển khoản
   + Hỗ trợ cổng thanh toán ví điện tử MoMo
   + Nhận mã giảm giá voucher trừ tiền tức thì trước khi thanh toán</t>
  </si>
  <si>
    <t>Tần suất đến rạp</t>
  </si>
  <si>
    <t>Rất cao (2 – 4 lần/tháng)</t>
  </si>
  <si>
    <t>Khách chuyển khoản sai nội dung hoặc thiếu tiền. Khắc phục bằng tích hợp mã VietQR quét tự điền chuẩn 100% số tiền và mã vé.</t>
  </si>
  <si>
    <t>Vé điện tử &amp; Vào rạp</t>
  </si>
  <si>
    <t>- Xuất vé xem phim điện tử hoàn chỉnh:
   + Hiển thị mã QR bảo mật chữ ký số HMAC-SHA256
   + Hiển thị chi tiết tên phim, phòng chiếu, vị trí ghế, giờ chiếu và combo bắp nước
   + Nút tải vé về máy hoặc lưu vào thư viện ảnh
   + Hướng dẫn chi tiết đường đi vào phòng chiếu tại rạp</t>
  </si>
  <si>
    <t>Mã QR hiển thị trên màn hình bị mờ khó quét. Khắc phục bằng thư viện qrcode tạo vector SVG độ nét cao với mức sửa lỗi Error Correction Level H.</t>
  </si>
  <si>
    <t>- QUY TRÌNH NGHIỆP VỤ HỆ THỐNG CINEMAX AI:</t>
  </si>
  <si>
    <t>Đều đặn (1 – 3 lần/tháng)</t>
  </si>
  <si>
    <t>Dịp cuối tuần / Lễ tết (1 lần/tháng)</t>
  </si>
  <si>
    <t>- Quy trình 1: Đặt vé &amp; Giữ ghế nguyên tử 300s (Seat Hold &amp; Booking):</t>
  </si>
  <si>
    <t>Rất cao (3 – 6 lần/tháng)</t>
  </si>
  <si>
    <t>Tùy hứng (1 – 2 lần/tháng)</t>
  </si>
  <si>
    <t>B1: Khách hàng chọn suất chiếu và bấm chọn ghế trên sơ đồ 102 chỗ (hệ thống kiểm tra chống ghế mồ côi Orphan Seat).</t>
  </si>
  <si>
    <t>Thể loại yêu thích</t>
  </si>
  <si>
    <t>Anime, Marvel/DC, Kinh dị, Hài</t>
  </si>
  <si>
    <t>Lãng mạn, Hài hước, Hoạt hình, Tâm lý</t>
  </si>
  <si>
    <t>Hoạt hình (Disney/Pixar), Phiêu lưu, Phim Tết</t>
  </si>
  <si>
    <t>Sci-Fi, Bom tấn kỹ xảo, Phim tranh giải Oscar</t>
  </si>
  <si>
    <t>Đa dạng, thích trải nghiệm phim độc lập</t>
  </si>
  <si>
    <t>Khung giờ ưa thích</t>
  </si>
  <si>
    <t>B2: Khách hàng bấm 'Tiếp tục', hệ thống gọi API giữ chỗ POST /api/seats/hold.</t>
  </si>
  <si>
    <t>Tối các ngày trong tuần (ưu đãi HSSV)</t>
  </si>
  <si>
    <t>Tối Thứ 6, Thứ 7, Chủ Nhật (19h – 21h30)</t>
  </si>
  <si>
    <t>Sáng hoặc Chiều Thứ 7, Chủ Nhật (9h – 16h)</t>
  </si>
  <si>
    <t>Suất chiếu sớm (Sneak show), Đêm muộn (Late night)</t>
  </si>
  <si>
    <t>B3: Backend thực thi Redis Lua Script kiểm tra nguyên tử: Nếu tất cả ghế đều trống -&gt; Khóa giữ chỗ trong 300 giây (5 phút), trả về holdId.</t>
  </si>
  <si>
    <t>Các suất vắng người (trưa, đầu giờ chiều, đêm)</t>
  </si>
  <si>
    <t>- Nếu có bất kỳ ghế nào đã bị người khác chọn trước: Báo lỗi 409 SEAT_TAKEN và yêu cầu khách chọn lại ghế khác.</t>
  </si>
  <si>
    <t>Loại ghế ưu tiên</t>
  </si>
  <si>
    <t>Ghế Thường (tiết kiệm chi phí)</t>
  </si>
  <si>
    <t>Ghế Đôi (Sweetbox) hoặc 2 ghế VIP</t>
  </si>
  <si>
    <t>B4: Khách hàng chọn bắp nước, áp mã voucher giảm giá và quét mã VietQR để thanh toán.</t>
  </si>
  <si>
    <t>Cụm 3 – 5 ghế liền kề nhau gần lối đi</t>
  </si>
  <si>
    <t>Ghế VIP chính giữa (Sweet Spot)</t>
  </si>
  <si>
    <t>1 ghế bất kỳ ở giữa hoặc rìa lối đi</t>
  </si>
  <si>
    <t>B5: Sau khi thanh toán thành công, hệ thống chuyển vé sang trạng thái 'valid', ký số HMAC-SHA256 và sinh mã QR vào rạp.</t>
  </si>
  <si>
    <t>Hành vi chi tiêu F&amp;B</t>
  </si>
  <si>
    <t>Săn mã giảm giá, mua combo bắp nước rẻ</t>
  </si>
  <si>
    <t>B6: Nếu sau 300 giây khách hàng không thanh toán, Redis tự động giải phóng ghế trở lại trạng thái trống hoàn toàn.</t>
  </si>
  <si>
    <t>Mua combo bắp lớn + 2 nước, ly nhân vật</t>
  </si>
  <si>
    <t>Mua nhiều bắp ngọt, nước ép, snack trẻ em</t>
  </si>
  <si>
    <t>Thường chỉ mua 1 nước ngọt hoặc không mua</t>
  </si>
  <si>
    <t>Ít mua bắp nước</t>
  </si>
  <si>
    <t>- Quy trình 2: Soát vé điện tử &amp; Chống vé giả mạo / Quét trùng (QR Check-in):</t>
  </si>
  <si>
    <t>Nỗi đau lớn nhất (Pain Points)</t>
  </si>
  <si>
    <t>Web/App chậm, giật lag lúc săn vé rẻ; giá bắp nước quá đắt</t>
  </si>
  <si>
    <t>Hết ghế đôi hoặc bị tách rời ghế; sơ đồ ghế không rõ lối đi</t>
  </si>
  <si>
    <t>B1: Khách hàng xuất trình mã QR trên vé điện tử tại cửa phòng chiếu.</t>
  </si>
  <si>
    <t>Khó chọn 4-5 ghế cạnh nhau; web không ghi rõ giới hạn độ tuổi</t>
  </si>
  <si>
    <t>Rạp không công bố rõ công nghệ (IMAX Laser hay Xenon, Dolby Atmos)</t>
  </si>
  <si>
    <t>Bị thuật toán chặn lỗi "Ghế mồ côi" khi chỉ muốn mua 1 vé</t>
  </si>
  <si>
    <t>B2: Nhân viên rạp mở ứng dụng /scanner trên điện thoại và quét mã QR.</t>
  </si>
  <si>
    <t>Kỳ vọng đối với website</t>
  </si>
  <si>
    <t>B3: Server nhận mã vé và token, tự động tính toán lại HMAC-SHA256(bookingId + secret) rồi so sánh bằng timingSafeEqual.</t>
  </si>
  <si>
    <t>Thanh toán nhanh qua MoMo/ZaloPay/VietQR, hiển thị rõ giá HSSV</t>
  </si>
  <si>
    <t>Xem trước góc nhìn từ ghế (View from seat), đặt combo bắp nước 1 chạm</t>
  </si>
  <si>
    <t>Đặt vé nhanh không cần đăng ký phức tạp, nhắc giờ chiếu rõ ràng</t>
  </si>
  <si>
    <t>- Nếu chữ ký sai: Lập tức báo động đỏ 'VÉ GIẢ MẠO / KHÔNG HỢP LỆ' và từ chối vào rạp.</t>
  </si>
  <si>
    <t>Bộ lọc định dạng rạp chi tiết (IMAX, 3D, 4DX), canh vé mở bán sớm</t>
  </si>
  <si>
    <t>Thao tác dưới 1 phút, không bị ép buộc quy tắc ghế thừa</t>
  </si>
  <si>
    <t>B4: Server thực hiện khóa nguyên tử Redis SETNX cinemax:ticket:used:&lt;bookingId&gt;.</t>
  </si>
  <si>
    <t>- Nếu vé đã quét trước đó: Báo động đỏ 'VÉ ĐÃ ĐƯỢC SỬ DỤNG' kèm thời gian và nhân viên đã soát lần đầu.</t>
  </si>
  <si>
    <t>B5: Nếu vé hợp lệ và chưa sử dụng: Màn hình hiển thị màu xanh 'VÉ HỢP LỆ — MỜI VÀO PHÒNG CHIẾU', ghi nhận thời gian soát.</t>
  </si>
  <si>
    <t>BẢNG KHẢO SÁT &amp; SO SÁNH CÁC WEBSITE RẠP PHIM TRONG NƯỚC VÀ QUỐC TẾ</t>
  </si>
  <si>
    <t>- Quy trình 3: Điều phối lịch chiếu &amp; Chống va chạm phòng chiếu (Showtime Collision Engine):</t>
  </si>
  <si>
    <t>B1: Admin vào trang Quản lý suất chiếu, chọn rạp, phòng chiếu, phim, ngày chiếu và giờ bắt đầu.</t>
  </si>
  <si>
    <t>Website / Nền tảng</t>
  </si>
  <si>
    <t>Điểm mạnh nổi bật (Pros)</t>
  </si>
  <si>
    <t>B2: Hệ thống tự động lấy thời lượng phim, cộng 10 phút chiếu trailer giới thiệu + 15 phút dọn dẹp vệ sinh phòng chiếu.</t>
  </si>
  <si>
    <t>Điểm yếu &amp; Lỗi hay gặp (Cons)</t>
  </si>
  <si>
    <t>Tốc độ tải trang &amp; Mobile UX</t>
  </si>
  <si>
    <t>Quy trình đặt vé</t>
  </si>
  <si>
    <t>Phương thức thanh toán</t>
  </si>
  <si>
    <t>B3: Collision Engine kiểm tra khoảng thời gian chiếm dụng [start_time, start_time + duration + 25 phút] với tất cả các suất chiếu hiện có của phòng.</t>
  </si>
  <si>
    <t>Đánh giá tổng thể</t>
  </si>
  <si>
    <t>- Nếu phát hiện trùng giờ chiếu: Hệ thống từ chối tạo suất chiếu, báo lỗi 409 và tự động tính toán đề xuất 3 khung giờ trống gần nhất.</t>
  </si>
  <si>
    <t>CGV Cinemas Vietnam (cgv.vn)</t>
  </si>
  <si>
    <t>B4: Nếu không va chạm: Hệ thống lưu suất chiếu vào cơ sở dữ liệu và hiển thị ngay cho khách hàng đặt vé.</t>
  </si>
  <si>
    <t>- Quy trình 4: Hoàn tiền &amp; Hủy vé tự động (Refund Policy):</t>
  </si>
  <si>
    <t>B1: Khách hàng vào trang Dashboard cá nhân (/dashboard), chọn vé muốn hủy và bấm 'Yêu cầu hoàn vé'.</t>
  </si>
  <si>
    <t>Hệ thống rạp lớn nhất, đa dạng phòng đặc biệt (IMAX, 4DX, Gold Class, Starium).</t>
  </si>
  <si>
    <t>Web tải rất chậm khi mở phim hot; giao diện lỗi thời; App hay bị văng khi chọn ghế.</t>
  </si>
  <si>
    <t>B2: Hệ thống kiểm tra điều kiện thời gian: Yêu cầu phải trước giờ chiếu phim tối thiểu 60 phút.</t>
  </si>
  <si>
    <t>Trung bình - Kém (PageSpeed: 42/100)</t>
  </si>
  <si>
    <t>5 bước (Phim -&gt; Rạp -&gt; Ghế -&gt; Bắp nước -&gt; Thanh toán)</t>
  </si>
  <si>
    <t>Thẻ ATM/Visa, MoMo, ZaloPay, Điểm CGV</t>
  </si>
  <si>
    <t>- Nếu thời gian còn lại dưới 60 phút hoặc vé đã được quét vào rạp: Hệ thống từ chối hoàn vé theo quy định của rạp.</t>
  </si>
  <si>
    <t>B3: Nếu đủ điều kiện hợp lệ: Hệ thống chuyển trạng thái vé sang 'void', tự động giải phóng ghế trong phòng chiếu về 'free'.</t>
  </si>
  <si>
    <t>⭐⭐⭐ (3.4/5)</t>
  </si>
  <si>
    <t>B4: Hệ thống tạo lệnh hoàn tiền tự động qua tài khoản VietQR/MoMo của khách hàng hoặc cấp voucher tương đương giá trị vé.</t>
  </si>
  <si>
    <t>B5: Gửi thông báo xác nhận hủy vé thành công đến số điện thoại của khách hàng.</t>
  </si>
  <si>
    <t>Galaxy Cinema (galaxycine.vn)</t>
  </si>
  <si>
    <t>Giao diện hiện đại, tông màu cam trẻ trung; tốc độ web nhanh; nhiều bài review phim hay.</t>
  </si>
  <si>
    <t>App thỉnh thoảng lỗi push vé; chính sách giữ vé đôi khi báo lỗi ảo; F&amp;B ít tùy chọn.</t>
  </si>
  <si>
    <t>Tốt (PageSpeed: 75/100)</t>
  </si>
  <si>
    <t>4 bước gọn gàng</t>
  </si>
  <si>
    <t>MoMo, VNPay, ZaloPay, ShopeePay, Thẻ ngân hàng</t>
  </si>
  <si>
    <t>⭐⭐⭐⭐ (4.2/5)</t>
  </si>
  <si>
    <t>Lotte Cinema Vietnam ([link removed])</t>
  </si>
  <si>
    <t>Giá vé hợp lý, nhiều rạp tại các trung tâm thương mại Lotte Mart.</t>
  </si>
  <si>
    <t>Web cực kỳ khó dùng, giao diện chia khung (iframe) cũ kỹ; sơ đồ ghế bé, khó bấm trên điện thoại.</t>
  </si>
  <si>
    <t>Kém (PageSpeed: 35/100)</t>
  </si>
  <si>
    <t>5 bước rườm rà</t>
  </si>
  <si>
    <t>Thẻ nội địa, VNPAY, MoMo</t>
  </si>
  <si>
    <t>⭐⭐☆ (2.8/5)</t>
  </si>
  <si>
    <t>BHD Star Cineplex (bhdstar.vn)</t>
  </si>
  <si>
    <t>Rạp có phong cách trẻ trung, First Class sofa cao cấp; giá combo bắp nước mềm.</t>
  </si>
  <si>
    <t>Số lượng cụm rạp ít; trang web thỉnh thoảng bảo trì đột ngột; sơ đồ ghế tải chậm.</t>
  </si>
  <si>
    <t>Trung bình (PageSpeed: 58/100)</t>
  </si>
  <si>
    <t>4 bước</t>
  </si>
  <si>
    <t>VNPay, MoMo, Thẻ quốc tế</t>
  </si>
  <si>
    <t>⭐⭐⭐☆ (3.5/5)</t>
  </si>
  <si>
    <t>Beta Cinemas (betacinemas.vn)</t>
  </si>
  <si>
    <t>Giá vé siêu rẻ (hướng tới HSSV); phủ sóng các tỉnh ngoại thành; quy trình mua vé đơn giản.</t>
  </si>
  <si>
    <t>Phòng chiếu công nghệ cơ bản; giao diện web thô sơ, ít tính năng cá nhân hóa.</t>
  </si>
  <si>
    <t>Khá (PageSpeed: 68/100)</t>
  </si>
  <si>
    <t>3 - 4 bước</t>
  </si>
  <si>
    <t>MoMo, VNPAY, ShopeePay</t>
  </si>
  <si>
    <t>⭐⭐⭐☆ (3.7/5)</t>
  </si>
  <si>
    <t>Cinestar (cinestar.com.vn)</t>
  </si>
  <si>
    <t>Giá vé sinh viên hấp dẫn; bắp rang bơ ngon; hỗ trợ đặt vé nhanh.</t>
  </si>
  <si>
    <t>Giao diện cơ bản; thiếu xem trailer trực tiếp; không có thông tin chi tiết dàn diễn viên.</t>
  </si>
  <si>
    <t>Khá (PageSpeed: 65/100)</t>
  </si>
  <si>
    <t>3 bước</t>
  </si>
  <si>
    <t>MoMo, ZaloPay, Thẻ ATM</t>
  </si>
  <si>
    <t>⭐⭐⭐☆ (3.6/5)</t>
  </si>
  <si>
    <t>MoMo Vé Phim (Mini App)</t>
  </si>
  <si>
    <t>Đặt vé cực nhanh trong 30 giây; thanh toán 1 chạm; tổng hợp được nhiều rạp (CGV, Lotte, Galaxy).</t>
  </si>
  <si>
    <t>Phụ thuộc vào API của từng rạp (nếu rạp lỗi thì MoMo lỗi theo); không can thiệp sâu vào đổi vé.</t>
  </si>
  <si>
    <t>Rất nhanh (Native App)</t>
  </si>
  <si>
    <t>3 bước (Nhanh nhất hiện nay)</t>
  </si>
  <si>
    <t>Trừ trực tiếp ví MoMo, Túi Thần Tài, Thẻ Visa</t>
  </si>
  <si>
    <t>⭐⭐⭐⭐☆ (4.5/5)</t>
  </si>
  <si>
    <t>Fandango (Mỹ) (fandango.com)</t>
  </si>
  <si>
    <t>Chuẩn mực thế giới về tổng hợp vé; trailer 4K; tính năng đổi vé linh hoạt (Fandango VIP Refund).</t>
  </si>
  <si>
    <t>Quá nhiều quảng cáo banner; phí dịch vụ đặt vé trực tuyến (Convenience Fee) khá cao.</t>
  </si>
  <si>
    <t>Rất tốt (PageSpeed: 82/100)</t>
  </si>
  <si>
    <t>3 bước tối ưu</t>
  </si>
  <si>
    <t>Apple Pay, Google Pay, PayPal, Credit Card</t>
  </si>
  <si>
    <t>⭐⭐⭐⭐☆ (4.4/5)</t>
  </si>
  <si>
    <t>AMC Theatres (Mỹ) (amctheatres.com)</t>
  </si>
  <si>
    <t>Sơ đồ ghế Canvas 60 FPS mượt mà; gói thành viên AMC Stubs A-List xem phim thả ga; đồ họa đỉnh cao.</t>
  </si>
  <si>
    <t>Giới hạn lãnh thổ Mỹ; yêu cầu kết nối mạng ổn định để tải tài nguyên 3D.</t>
  </si>
  <si>
    <t>Xuất sắc (PageSpeed: 88/100)</t>
  </si>
  <si>
    <t>Apple Pay, Credit Card, AMC Gift Card</t>
  </si>
  <si>
    <t>⭐⭐⭐⭐⭐ (4.7/5)</t>
  </si>
  <si>
    <t>BookMyShow (Ấn Độ/ĐNÁ) (bookmyshow.com)</t>
  </si>
  <si>
    <t>Xử lý tải khủng hàng đầu thế giới; phân loại ghế theo từng khoảng giá linh hoạt; lọc theo ngôn ngữ.</t>
  </si>
  <si>
    <t>Giao diện nhồi nhét quá nhiều sự kiện ngoài phim (hòa nhạc, thể thao); nhiều thông báo pop-up.</t>
  </si>
  <si>
    <t>Tốt (PageSpeed: 78/100)</t>
  </si>
  <si>
    <t>UPI, Thẻ quốc tế, Net Banking, Ví điện tử</t>
  </si>
  <si>
    <t>⭐⭐⭐⭐ (4.3/5)</t>
  </si>
  <si>
    <t>DANH MỤC TÍNH NĂNG CỐT LÕI (CORE &amp; BREAKTHROUGH FEATURES)</t>
  </si>
  <si>
    <t>CƠ SỞ DỮ LIỆU CHUẨN HÓA (DATABASE SCHEMA / ERD)</t>
  </si>
  <si>
    <t>Phân hệ</t>
  </si>
  <si>
    <t>Tên tính năng</t>
  </si>
  <si>
    <t>Mô tả chi tiết &amp; Giải pháp kỹ thuật</t>
  </si>
  <si>
    <t>Bảng thực thể (Entity / Table)</t>
  </si>
  <si>
    <t>Mô tả vai trò &amp; Thuộc tính cốt lõi</t>
  </si>
  <si>
    <t>Khách hàng (User Portal)</t>
  </si>
  <si>
    <t>Sơ đồ ghế tương tác cao cấp (Interactive Seat Map)</t>
  </si>
  <si>
    <t>Canvas/SVG mượt mà 60 FPS, hỗ trợ phòng chiếu lên đến 600 ghế (IMAX), phân biệt ghế Standard, VIP, Sweetbox, Khuyết tật.</t>
  </si>
  <si>
    <t>cinemas</t>
  </si>
  <si>
    <t>Danh sách cụm rạp, tên rạp, địa chỉ chi tiết, hotline, tọa độ GPS bản đồ.</t>
  </si>
  <si>
    <t>Bộ đếm ngược giữ ghế (Countdown Timer)</t>
  </si>
  <si>
    <t>10 phút đếm ngược đồng bộ với Server Timestamp, cảnh báo đổi màu khi còn 60 giây. Khóa ghế phân tán qua Redis Lua Script.</t>
  </si>
  <si>
    <t>halls</t>
  </si>
  <si>
    <t>Phòng chiếu, phân loại công nghệ (IMAX, 3D, Standard, Dolby Atmos), sức chứa ghế.</t>
  </si>
  <si>
    <t>Thuật toán Chống Ghế Mồ Côi (Orphan Seat Prevention)</t>
  </si>
  <si>
    <t>Ngăn chặn người dùng bỏ trống 1 ghế đơn lẻ ở đầu dãy hoặc kẹp giữa 2 ghế đã đặt; gợi ý tự động dịch chuyển ghế thông minh.</t>
  </si>
  <si>
    <t>seat_templates</t>
  </si>
  <si>
    <t>Sơ đồ ghế vật lý theo phòng chiếu (Row, Seat number, Loại ghế: Standard, VIP, Sweetbox).</t>
  </si>
  <si>
    <t>Trợ lý AI Điện Ảnh (Groq LPU / Gemini)</t>
  </si>
  <si>
    <t>Tư vấn phim theo sở thích, gợi ý suất chiếu và vị trí ghế có góc nhìn tốt nhất (Sweet Spot) với tốc độ siêu tốc ~500 tokens/s.</t>
  </si>
  <si>
    <t>movies</t>
  </si>
  <si>
    <t>Kho danh mục phim, trailer, thời lượng, phân loại độ tuổi (P, K, T13, T16, T18, C).</t>
  </si>
  <si>
    <t>Quản trị (Admin Portal)</t>
  </si>
  <si>
    <t>Quản lý Danh mục Phim &amp; Độ tuổi</t>
  </si>
  <si>
    <t>Phân loại chuẩn theo Thông tư 05/2023/TT-BVHTTDL (P, K, T13, T16, T18, C), quản lý poster, trailer và thời lượng.</t>
  </si>
  <si>
    <t>showtimes</t>
  </si>
  <si>
    <t>Lịch suất chiếu = Phim + Phòng + Giờ bắt đầu + Giờ kết thúc + Trạng thái kích hoạt.</t>
  </si>
  <si>
    <t>Trình thiết kế sơ đồ ghế trực quan (Seat Layout Designer)</t>
  </si>
  <si>
    <t>Giao diện kéo-thả trực quan tạo hàng ghế, phân loại ghế, cấu hình lối đi và cửa thoát hiểm cho từng phòng chiếu.</t>
  </si>
  <si>
    <t>showtime_seats</t>
  </si>
  <si>
    <t>Trạng thái động của từng ghế trong từng suất chiếu (AVAILABLE, HOLD, BOOKED, BLOCKED).</t>
  </si>
  <si>
    <t>Bộ máy Chống Xung Đột Lịch Chiếu (Collision Detection Engine)</t>
  </si>
  <si>
    <t>Kiểm tra khóa phòng = Trailer (10p) + Thời lượng phim + Dọn rạp (15-20p); chặn xếp trùng lịch bằng SQL Interval Overlap Check.</t>
  </si>
  <si>
    <t>bookings</t>
  </si>
  <si>
    <t>Đơn hàng đặt vé, tổng giá trị, user_id, mã Idempotency key, trạng thái thanh toán.</t>
  </si>
  <si>
    <t>Định giá vé động (Dynamic Pricing Engine)</t>
  </si>
  <si>
    <t>Tự động điều chỉnh giá theo Ngày thường/Cuối tuần, Khung giờ (Early bird, Prime time), Loại ghế và Công nghệ phòng (2D/3D/IMAX).</t>
  </si>
  <si>
    <t>tickets</t>
  </si>
  <si>
    <t>Vé điện tử chi tiết, mã QR hash ký số HMAC-SHA256, trạng thái check-in (UNCHECKED/CHECKED).</t>
  </si>
  <si>
    <t>Soát vé tại rạp (Staff Scanner)</t>
  </si>
  <si>
    <t>Ứng dụng PWA Soát vé QR siêu tốc</t>
  </si>
  <si>
    <t>Quét mã QR qua camera điện thoại/POS trong &lt; 0.3 giây; hoạt động mượt mà trên nền tảng Web App PWA.</t>
  </si>
  <si>
    <t>concessions</t>
  </si>
  <si>
    <t>Danh mục combo bắp rang bơ, nước giải khát, snack và quà tặng lưu niệm theo phim.</t>
  </si>
  <si>
    <t>Mã vé mã hóa chống gian lận &amp; Cửa sổ check-in</t>
  </si>
  <si>
    <t>Token ký số HMAC-SHA256, mỗi mã chỉ check-in 1 lần (cảnh báo đỏ nếu quét lại); hợp lệ trong [Giờ chiếu - 45p] đến [Giờ chiếu + 20p].</t>
  </si>
  <si>
    <t>Chế độ Ngoại tuyến (Offline Fallback)</t>
  </si>
  <si>
    <t>Lưu cache danh sách băm vé vào IndexedDB, cho phép soát vé bình thường và đồng bộ lại khi rạp bị mất kết nối Internet.</t>
  </si>
  <si>
    <t>LỘ TRÌNH TRIỂN KHAI DỰ ÁN (ROADMAP &amp; MILESTONES)</t>
  </si>
  <si>
    <t>Giai đoạn</t>
  </si>
  <si>
    <t>Thời gian thực hiện</t>
  </si>
  <si>
    <t>Hạng mục công việc trọng tâm</t>
  </si>
  <si>
    <t>Kết quả bàn giao (Deliverables)</t>
  </si>
  <si>
    <t>Giai đoạn 1: Nền tảng Core &amp; Trải nghiệm Đặt vé</t>
  </si>
  <si>
    <t>Tuần 1 – 3</t>
  </si>
  <si>
    <t>Thiết lập DB PostgreSQL, Prisma ORM, Redis Lock Lua Script, Sơ đồ ghế tương tác SVG/Canvas 60 FPS, Bộ đếm ngược 10 phút.</t>
  </si>
  <si>
    <t>Hệ thống đặt chỗ cốt lõi, sơ đồ ghế real-time chống giữ ghế ma hoàn tất.</t>
  </si>
  <si>
    <t>Giai đoạn 2: Tích hợp Thanh toán &amp; Phân hệ F&amp;B</t>
  </si>
  <si>
    <t>Tuần 4 – 6</t>
  </si>
  <si>
    <t>Phát triển Module combo bắp nước F&amp;B, kết nối cổng thanh toán MoMo/VNPay/VietQR với bảo mật HMAC &amp; Idempotency, xuất vé QR Token.</t>
  </si>
  <si>
    <t>Luồng thanh toán an toàn, không sợ trùng đơn, xuất vé QR ngay lập tức.</t>
  </si>
  <si>
    <t>Giai đoạn 3: Phân hệ Quản trị &amp; Soát vé Staff</t>
  </si>
  <si>
    <t>Tuần 7 – 9</t>
  </si>
  <si>
    <t>Xây dựng Admin Portal (vẽ sơ đồ rạp kéo-thả, công cụ chống trùng lịch chiếu), xây dựng ứng dụng PWA Scanner quét vé QR offline (IndexedDB).</t>
  </si>
  <si>
    <t>Portal quản trị rạp trực quan và ứng dụng soát vé quét &lt; 0.3 giây.</t>
  </si>
  <si>
    <t>Giai đoạn 4: Trợ lý AI &amp; Tối ưu chịu tải cao</t>
  </si>
  <si>
    <t>Tuần 10 – 12</t>
  </si>
  <si>
    <t>Tích hợp Trợ lý AI Groq LPU / Gemini tư vấn phim và gợi ý ghế Sweet Spot, kiểm thử chịu tải 10.000 CCU, hoàn thiện hạ tầng Production.</t>
  </si>
  <si>
    <t>Nền tảng hoàn thiện toàn diện, hiệu năng cao sẵn sàng Go-Live chính thức.</t>
  </si>
  <si>
    <t>I. CÂU HỎI VỀ TRẢI NGHIỆM KHÁCH HÀNG</t>
  </si>
  <si>
    <t>(Dành cho khán giả đang chờ xem phim hoặc mua vé tại sảnh rạp)</t>
  </si>
  <si>
    <t>Bạn đã từng mua vé xem phim trực tuyến trên các trang web hoặc ứng dụng rạp chiếu phim khác (như CGV, Galaxy Cinema, Lotte Cinema, Beta Cinemas, MoMo, ShopeePay...) chưa?</t>
  </si>
  <si>
    <t>Nếu có, bạn có thể chia sẻ trải nghiệm của mình khi đặt vé trực tuyến không?</t>
  </si>
  <si>
    <t>Bạn từng gặp phải những khó khăn hoặc trải nghiệm khó chịu gì khi mua vé xem phim trực tuyến?</t>
  </si>
  <si>
    <t>Trang web bị nghẽn mạng, giật lag, bị đẩy ra ngoài lúc mở bán sớm phim bom tấn hot.</t>
  </si>
  <si>
    <t>Bị thuật toán chặn lỗi "Không được để trống 1 ghế" (Ghế mồ côi) khi muốn mua vé đi một mình.</t>
  </si>
  <si>
    <t>Bị lỗi trừ tiền tài khoản ngân hàng nhưng hệ thống không xuất mã vé / mã QR.</t>
  </si>
  <si>
    <t>Không có chính sách hỗ trợ hủy vé hoặc đổi giờ chiếu khi bận việc đột xuất.</t>
  </si>
  <si>
    <t>Bạn có thể đề xuất gì để cải thiện trải nghiệm mua vé xem phim trực tuyến tốt hơn?</t>
  </si>
  <si>
    <t>Gợi ý trả lời: Tính năng xem trước góc nhìn 3D từ ghế (View from Seat), Trợ lý AI gợi ý phim hợp tâm trạng và tự chọn ghế VIP đẹp nhất, tính năng đặt vé nhóm tự chia tiền, giao bắp nước tận ghế.</t>
  </si>
  <si>
    <t>II. CÂU HỎI VỀ SẢN PHẨM VÀ DỊCH VỤ</t>
  </si>
  <si>
    <t>(Dành cho Quản lý rạp / Nhân viên bán vé Box Office &amp; Bắp nước)</t>
  </si>
  <si>
    <t>Các sản phẩm và dịch vụ chính mà cụm rạp của anh/chị đang kinh doanh là gì?</t>
  </si>
  <si>
    <t>Gợi ý trả lời: Vé xem phim các định dạng (2D, 3D, IMAX Laser, 4DX, ScreenX); các loại ghế (Thường, VIP, Ghế đôi Sweetbox, Giường nằm); Menu F&amp;B (bắp rang các vị phô mai/caramel, nước ngọt, snack, trà sữa); Movie Combo (ly nhân vật sưu tầm bản quyền phim); Dịch vụ bao rạp tổ chức sự kiện/sinh nhật/hội thảo.</t>
  </si>
  <si>
    <t>Anh/chị có cung cấp dịch vụ hậu mãi và hỗ trợ khách hàng không? (Ví dụ: bảo lưu vé, đổi suất chiếu, xử lý sự cố suất chiếu).</t>
  </si>
  <si>
    <t>Gợi ý trả lời: Quy trình giải quyết khi máy chiếu/âm thanh gặp sự cố kỹ thuật (hoàn vé + tặng voucher đền bù); chính sách hỗ trợ khách hàng bỏ quên tài sản trong rạp; quy định đổi vé/đổi giờ chiếu trước suất chiếu bao nhiêu phút.</t>
  </si>
  <si>
    <t>Sản phẩm hoặc dòng sản phẩm nào bán chạy nhất tại rạp của anh/chị?</t>
  </si>
  <si>
    <t>Gợi ý trả lời: Ghế VIP vị trí trung tâm, phòng chiếu công nghệ cao IMAX, combo bắp nước đôi (Friend/Couple Combo), hay các ly nhân vật hoạt hình/anime độc quyền theo phim.</t>
  </si>
  <si>
    <t>III. CÂU HỎI VỀ KHÁCH HÀNG VÀ THỊ TRƯỜNG</t>
  </si>
  <si>
    <t>(Dành cho Giám đốc cụm rạp / Quản lý kinh doanh)</t>
  </si>
  <si>
    <t>Nhóm khách hàng chính của cụm rạp là ai?</t>
  </si>
  <si>
    <t>Gợi ý trả lời: Học sinh - sinh viên (Gen Z săn vé đồng giá), các cặp đôi trẻ (chọn ghế đôi/suất tối cuối tuần), gia đình có trẻ em (xem phim hoạt hình ban ngày), hay dân cinephile mê kỹ thuật âm thanh/hình ảnh.</t>
  </si>
  <si>
    <t>Anh/chị đánh giá thế nào về sự cạnh tranh trong thị trường rạp chiếu phim hiện nay giữa các chuỗi (CGV, Galaxy, Lotte, Beta, BHD, Cinestar)?</t>
  </si>
  <si>
    <t>Gợi ý trả lời: Cạnh tranh về độc quyền công nghệ phòng chiếu (IMAX vs 4DX), cạnh tranh về giá vé bình dân (Beta vs CGV), cạnh tranh về địa điểm vị trí trung tâm thương mại và tiện ích đi kèm.</t>
  </si>
  <si>
    <t>Làm thế nào để cụm rạp thu hút và giữ chân khách hàng trung thành?</t>
  </si>
  <si>
    <t>Gợi ý trả lời: Chương trình hội viên tích lũy điểm đổi vé/bắp nước miễn phí, ưu đãi giá vé U22 cho học sinh - sinh viên, ngày hội giá vé rẻ định kỳ (Thứ Ba / Thứ Tư vui vẻ), nâng cao thái độ phục vụ và vệ sinh phòng chiếu.</t>
  </si>
  <si>
    <t>IV. CÂU HỎI VỀ QUẢN LÝ VÀ VẬN HÀNH</t>
  </si>
  <si>
    <t>(Dành cho Quản lý ca / Trưởng rạp / Giám sát vận hành)</t>
  </si>
  <si>
    <t>Quy trình làm việc 1 ngày của cụm rạp diễn ra như thế nào?</t>
  </si>
  <si>
    <t>Gợi ý trả lời:</t>
  </si>
  <si>
    <t>Đầu ca sáng (8h30): Khởi động hệ thống server TMS, kiểm tra máy chiếu và âm thanh các phòng chiếu, chuẩn bị nguyên liệu bắp bơ, mở két thu ngân quầy vé.</t>
  </si>
  <si>
    <t>Trong ngày: Điều phối khách vào rạp, soát vé mã QR, vận hành suất chiếu đúng giờ, dọn dẹp vệ sinh phòng chiếu trong 15 phút giữa 2 suất chiếu.</t>
  </si>
  <si>
    <t>Cuối ca đêm: Khóa phòng chiếu, kiểm kê tồn kho F&amp;B, chốt doanh thu bán vé và F&amp;B trên hệ thống POS, đóng két an toàn.</t>
  </si>
  <si>
    <t>Cụm rạp hiện có bao nhiêu nhân viên? Anh/chị phân ca và quản lý nhân viên ra sao?</t>
  </si>
  <si>
    <t>Gợi ý trả lời: Số lượng nhân sự (Toàn thời gian &amp; Bán thời gian sinh viên); phân chia 4 bộ phận chính: Bán vé (Box Office), Quầy F&amp;B (Concession), Soát vé &amp; Hướng dẫn (Usher), Kỹ thuật phòng chiếu (Projectionist).</t>
  </si>
  <si>
    <t>Làm thế nào để anh/chị kiểm soát tồn kho và đảm bảo không bị thiếu hoặc dư hàng?</t>
  </si>
  <si>
    <t>Kiểm soát vé: Quản lý ma trận sơ đồ ghế thời gian thực qua hệ thống phần mềm, tránh đặt trùng ghế.</t>
  </si>
  <si>
    <t>Kiểm soát F&amp;B: Định lượng nguyên liệu (hạt bắp, bơ, bột phô mai, siro nước ngọt, ly cốc giấy theo số lượng bán ra trong ngày), kiểm kê nhập - xuất - tồn theo ngày.</t>
  </si>
  <si>
    <t>Anh/chị có sử dụng phần mềm quản lý bán vé hay công cụ hỗ trợ nào không?</t>
  </si>
  <si>
    <t>Gợi ý trả lời: Hệ thống POS bán vé và soát vé (Vista Cinema, phần mềm quản lý nội bộ chuỗi), hệ thống quản lý lịch chiếu tập trung TMS (Theatre Management System), máy quét mã vạch/mã QR tại cửa rạp.</t>
  </si>
  <si>
    <t>V. CÂU HỎI VỀ MARKETING VÀ QUẢNG BÁ</t>
  </si>
  <si>
    <t>(Dành cho Bộ phận Truyền thông &amp; Tiếp thị rạp phim)</t>
  </si>
  <si>
    <t>Anh/chị có thực hiện các chiến dịch marketing hoặc quảng cáo cho các phim mới ra mắt không?</t>
  </si>
  <si>
    <t>Gợi ý trả lời: Tổ chức sự kiện thảm đỏ họp báo ra mắt phim (Premiere), mở bán vé sớm (Sneak Show), dựng Photobooth check-in và mô hình nhân vật tại sảnh rạp, minigame tặng vé trên mạng xã hội.</t>
  </si>
  <si>
    <t>Những kênh nào mang lại hiệu quả quảng bá và thu hút khán giả mua vé tốt nhất?</t>
  </si>
  <si>
    <t>Gợi ý trả lời: Fanpage Facebook rạp, video ngắn TikTok review phim triệu view, kênh YouTube phát trailer, quảng cáo qua App ngân hàng/Ví điện tử đối tác (MoMo, ZaloPay, ShopeePay), và hiệu ứng truyền miệng (Word-of-Mouth) của cộng đồng mê phim.</t>
  </si>
  <si>
    <t>VI. CÂU HỎI VỀ XU HƯỚNG VÀ CÔNG NGHỆ</t>
  </si>
  <si>
    <t>(Dành cho Ban lãnh đạo &amp; Định hướng phát triển công nghệ)</t>
  </si>
  <si>
    <t>Anh/chị nghĩ gì về xu hướng khán giả chuyển từ mua vé tại quầy sang mua vé trực tuyến 100%? Cụm rạp có kế hoạch tối ưu nền tảng online và lắp đặt Kiosk tự phục vụ không?</t>
  </si>
  <si>
    <t>Gợi ý trả lời: Tỷ lệ đặt vé trực tuyến hiện chiếm trên 70-80% tổng doanh thu rạp; kế hoạch tối ưu trải nghiệm App/Web mua vé 1 chạm, triển khai hệ thống Kiosk tự lấy vé và tự gọi bắp nước (Self-service Kiosk) để cắt giảm thời gian xếp hàng.</t>
  </si>
  <si>
    <t>Công nghệ điện ảnh và thiết bị trình chiếu hiện nay thay đổi rất nhanh (IMAX Laser, Dolby Atmos, màn hình LED Cinema...). Làm sao để cụm rạp luôn cập nhật và giữ chân khán giả trước sự cạnh tranh của các nền tảng xem phim tại nhà (Netflix, Disney+)?</t>
  </si>
  <si>
    <t>Gợi ý trả lời: Trải nghiệm rạp chiếu phim là trải nghiệm không thể thay thế nhờ màn hình siêu lớn và âm thanh rung chuyển từng tế bào; liên tục tái đầu tư nâng cấp dàn máy chiếu laser 4K, ghế ngả lưng êm ái, mang lại trải nghiệm cảm xúc vượt trội so với xem phim trên màn hình tivi hay điện thoại.</t>
  </si>
</sst>
</file>

<file path=xl/styles.xml><?xml version="1.0" encoding="utf-8"?>
<styleSheet xmlns="http://schemas.openxmlformats.org/spreadsheetml/2006/main" xmlns:x14ac="http://schemas.microsoft.com/office/spreadsheetml/2009/9/ac" xmlns:mc="http://schemas.openxmlformats.org/markup-compatibility/2006">
  <fonts count="37">
    <font>
      <sz val="11.0"/>
      <color theme="1"/>
      <name val="Calibri"/>
      <scheme val="minor"/>
    </font>
    <font>
      <color theme="1"/>
      <name val="Arial"/>
    </font>
    <font>
      <b/>
      <sz val="16.0"/>
      <color rgb="FF1E3A8A"/>
      <name val="Arial"/>
    </font>
    <font>
      <sz val="11.0"/>
      <color rgb="FF000000"/>
      <name val="Calibri"/>
    </font>
    <font>
      <b/>
      <sz val="20.0"/>
      <color theme="1"/>
      <name val="Tahoma"/>
    </font>
    <font>
      <b/>
      <sz val="11.0"/>
      <color rgb="FF1E3A8A"/>
      <name val="Arial"/>
    </font>
    <font>
      <sz val="10.0"/>
      <color rgb="FF1F2937"/>
      <name val="Arial"/>
    </font>
    <font>
      <b/>
      <color rgb="FF993300"/>
      <name val="Tahoma"/>
    </font>
    <font>
      <b/>
      <u/>
      <sz val="11.0"/>
      <color rgb="FF0284C7"/>
      <name val="Arial"/>
    </font>
    <font>
      <b/>
      <sz val="11.0"/>
      <color rgb="FFFFFFFF"/>
      <name val="Arial"/>
    </font>
    <font>
      <b/>
      <sz val="11.0"/>
      <color rgb="FF0F172A"/>
      <name val="Arial"/>
    </font>
    <font>
      <b/>
      <sz val="10.0"/>
      <color rgb="FF1E293B"/>
      <name val="Arial"/>
    </font>
    <font>
      <sz val="10.0"/>
      <color rgb="FF111827"/>
      <name val="Arial"/>
    </font>
    <font>
      <b/>
      <sz val="10.0"/>
      <color rgb="FF047857"/>
      <name val="Arial"/>
    </font>
    <font/>
    <font>
      <i/>
      <sz val="10.0"/>
      <color rgb="FF991B1B"/>
      <name val="Arial"/>
    </font>
    <font>
      <b/>
      <sz val="13.0"/>
      <color theme="1"/>
      <name val="Arial"/>
    </font>
    <font>
      <i/>
      <color rgb="FF008000"/>
      <name val="Tahoma"/>
    </font>
    <font>
      <b/>
      <sz val="12.0"/>
      <color theme="1"/>
      <name val="Arial"/>
    </font>
    <font>
      <color theme="1"/>
      <name val="Tahoma"/>
    </font>
    <font>
      <u/>
      <color rgb="FF0000FF"/>
      <name val="Arial"/>
    </font>
    <font>
      <u/>
      <sz val="11.0"/>
      <color rgb="FF0000FF"/>
      <name val="Calibri"/>
    </font>
    <font>
      <u/>
      <color rgb="FF0000FF"/>
      <name val="Arial"/>
    </font>
    <font>
      <i/>
      <u/>
      <color rgb="FF1155CC"/>
      <name val="Tahoma"/>
    </font>
    <font>
      <u/>
      <color rgb="FF0000FF"/>
    </font>
    <font>
      <i/>
      <color theme="1"/>
      <name val="Tahoma"/>
    </font>
    <font>
      <i/>
      <sz val="11.0"/>
      <color rgb="FF555555"/>
      <name val="Arial"/>
    </font>
    <font>
      <sz val="10.0"/>
      <color theme="1"/>
      <name val="Roboto"/>
    </font>
    <font>
      <b/>
      <sz val="10.0"/>
      <color rgb="FF0F172A"/>
      <name val="Arial"/>
    </font>
    <font>
      <b/>
      <sz val="10.0"/>
      <color rgb="FF1E3A8A"/>
      <name val="Arial"/>
    </font>
    <font>
      <b/>
      <sz val="14.0"/>
      <color rgb="FFFFFFFF"/>
      <name val="Calibri"/>
      <scheme val="minor"/>
    </font>
    <font>
      <i/>
      <sz val="10.0"/>
      <color rgb="FFF0F5F8"/>
      <name val="Calibri"/>
      <scheme val="minor"/>
    </font>
    <font>
      <b/>
      <sz val="10.0"/>
      <color rgb="FFFFFFFF"/>
      <name val="Calibri"/>
      <scheme val="minor"/>
    </font>
    <font>
      <b/>
      <sz val="10.0"/>
      <color rgb="FF1A1B21"/>
      <name val="Roboto"/>
    </font>
    <font>
      <b/>
      <sz val="11.0"/>
      <color rgb="FFFFFFFF"/>
      <name val="Calibri"/>
      <scheme val="minor"/>
    </font>
    <font>
      <b/>
      <sz val="10.0"/>
      <color theme="1"/>
      <name val="Roboto"/>
    </font>
    <font>
      <b/>
      <sz val="14.0"/>
      <color theme="1"/>
      <name val="Calibri"/>
      <scheme val="minor"/>
    </font>
  </fonts>
  <fills count="13">
    <fill>
      <patternFill patternType="none"/>
    </fill>
    <fill>
      <patternFill patternType="lightGray"/>
    </fill>
    <fill>
      <patternFill patternType="solid">
        <fgColor rgb="FFFFFFFF"/>
        <bgColor rgb="FFFFFFFF"/>
      </patternFill>
    </fill>
    <fill>
      <patternFill patternType="solid">
        <fgColor rgb="FFF8FAFC"/>
        <bgColor rgb="FFF8FAFC"/>
      </patternFill>
    </fill>
    <fill>
      <patternFill patternType="solid">
        <fgColor rgb="FF1E3A8A"/>
        <bgColor rgb="FF1E3A8A"/>
      </patternFill>
    </fill>
    <fill>
      <patternFill patternType="solid">
        <fgColor rgb="FFEFF6FF"/>
        <bgColor rgb="FFEFF6FF"/>
      </patternFill>
    </fill>
    <fill>
      <patternFill patternType="solid">
        <fgColor rgb="FFF0FDF4"/>
        <bgColor rgb="FFF0FDF4"/>
      </patternFill>
    </fill>
    <fill>
      <patternFill patternType="solid">
        <fgColor rgb="FFFFFBEB"/>
        <bgColor rgb="FFFFFBEB"/>
      </patternFill>
    </fill>
    <fill>
      <patternFill patternType="solid">
        <fgColor rgb="FF1E293A"/>
        <bgColor rgb="FF1E293A"/>
      </patternFill>
    </fill>
    <fill>
      <patternFill patternType="solid">
        <fgColor rgb="FF334154"/>
        <bgColor rgb="FF334154"/>
      </patternFill>
    </fill>
    <fill>
      <patternFill patternType="solid">
        <fgColor rgb="FF1E3989"/>
        <bgColor rgb="FF1E3989"/>
      </patternFill>
    </fill>
    <fill>
      <patternFill patternType="solid">
        <fgColor rgb="FFEDF0F8"/>
        <bgColor rgb="FFEDF0F8"/>
      </patternFill>
    </fill>
    <fill>
      <patternFill patternType="solid">
        <fgColor rgb="FFF4F7FC"/>
        <bgColor rgb="FFF4F7FC"/>
      </patternFill>
    </fill>
  </fills>
  <borders count="11">
    <border/>
    <border>
      <left style="thin">
        <color rgb="FFCBD5E1"/>
      </left>
      <right style="thin">
        <color rgb="FFCBD5E1"/>
      </right>
      <top style="thin">
        <color rgb="FFCBD5E1"/>
      </top>
      <bottom style="thin">
        <color rgb="FFCBD5E1"/>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CBD5E1"/>
      </left>
      <right style="thin">
        <color rgb="FFCBD5E1"/>
      </right>
      <top style="thin">
        <color rgb="FFCBD5E1"/>
      </top>
      <bottom style="medium">
        <color rgb="FF1E3A8A"/>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D1D8E5"/>
      </left>
      <right style="thin">
        <color rgb="FFD1D8E5"/>
      </right>
      <top style="thin">
        <color rgb="FFD1D8E5"/>
      </top>
      <bottom style="thin">
        <color rgb="FFD1D8E5"/>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Alignment="1" applyFont="1">
      <alignment shrinkToFit="0" wrapText="0"/>
    </xf>
    <xf borderId="0" fillId="0" fontId="4" numFmtId="0" xfId="0" applyAlignment="1" applyFont="1">
      <alignment horizontal="center" vertical="bottom"/>
    </xf>
    <xf borderId="0" fillId="0" fontId="5" numFmtId="0" xfId="0" applyFont="1"/>
    <xf borderId="0" fillId="2" fontId="1" numFmtId="0" xfId="0" applyAlignment="1" applyFill="1" applyFont="1">
      <alignment vertical="bottom"/>
    </xf>
    <xf borderId="1" fillId="3" fontId="6" numFmtId="0" xfId="0" applyAlignment="1" applyBorder="1" applyFill="1" applyFont="1">
      <alignment horizontal="left" shrinkToFit="0" vertical="top" wrapText="1"/>
    </xf>
    <xf borderId="2" fillId="2" fontId="7" numFmtId="0" xfId="0" applyAlignment="1" applyBorder="1" applyFill="1" applyFont="1">
      <alignment vertical="bottom"/>
    </xf>
    <xf borderId="0" fillId="0" fontId="8" numFmtId="0" xfId="0" applyAlignment="1" applyFont="1">
      <alignment horizontal="center" shrinkToFit="0" vertical="center" wrapText="1"/>
    </xf>
    <xf borderId="3" fillId="0" fontId="1" numFmtId="0" xfId="0" applyAlignment="1" applyBorder="1" applyFont="1">
      <alignment readingOrder="0" vertical="bottom"/>
    </xf>
    <xf borderId="4" fillId="4" fontId="9" numFmtId="0" xfId="0" applyAlignment="1" applyBorder="1" applyFill="1" applyFont="1">
      <alignment horizontal="center" shrinkToFit="0" vertical="center" wrapText="1"/>
    </xf>
    <xf borderId="1" fillId="2" fontId="10" numFmtId="0" xfId="0" applyAlignment="1" applyBorder="1" applyFill="1" applyFont="1">
      <alignment horizontal="center" shrinkToFit="0" vertical="top" wrapText="1"/>
    </xf>
    <xf borderId="1" fillId="2" fontId="11" numFmtId="0" xfId="0" applyAlignment="1" applyBorder="1" applyFill="1" applyFont="1">
      <alignment horizontal="left" shrinkToFit="0" vertical="top" wrapText="1"/>
    </xf>
    <xf borderId="1" fillId="2" fontId="12" numFmtId="0" xfId="0" applyAlignment="1" applyBorder="1" applyFill="1" applyFont="1">
      <alignment horizontal="left" shrinkToFit="0" vertical="top" wrapText="1"/>
    </xf>
    <xf borderId="1" fillId="2" fontId="13" numFmtId="0" xfId="0" applyAlignment="1" applyBorder="1" applyFill="1" applyFont="1">
      <alignment horizontal="center" shrinkToFit="0" vertical="top" wrapText="1"/>
    </xf>
    <xf borderId="5" fillId="0" fontId="14" numFmtId="0" xfId="0" applyBorder="1" applyFont="1"/>
    <xf borderId="1" fillId="2" fontId="15" numFmtId="0" xfId="0" applyAlignment="1" applyBorder="1" applyFill="1" applyFont="1">
      <alignment horizontal="left" shrinkToFit="0" vertical="top" wrapText="1"/>
    </xf>
    <xf borderId="2" fillId="0" fontId="1" numFmtId="0" xfId="0" applyAlignment="1" applyBorder="1" applyFont="1">
      <alignment vertical="bottom"/>
    </xf>
    <xf borderId="1" fillId="5" fontId="10" numFmtId="0" xfId="0" applyAlignment="1" applyBorder="1" applyFill="1" applyFont="1">
      <alignment horizontal="center" shrinkToFit="0" vertical="top" wrapText="1"/>
    </xf>
    <xf borderId="2" fillId="0" fontId="16" numFmtId="0" xfId="0" applyAlignment="1" applyBorder="1" applyFont="1">
      <alignment vertical="bottom"/>
    </xf>
    <xf borderId="1" fillId="5" fontId="11" numFmtId="0" xfId="0" applyAlignment="1" applyBorder="1" applyFill="1" applyFont="1">
      <alignment horizontal="left" shrinkToFit="0" vertical="top" wrapText="1"/>
    </xf>
    <xf borderId="0" fillId="0" fontId="3" numFmtId="0" xfId="0" applyAlignment="1" applyFont="1">
      <alignment readingOrder="0" shrinkToFit="0" wrapText="0"/>
    </xf>
    <xf borderId="6" fillId="0" fontId="14" numFmtId="0" xfId="0" applyBorder="1" applyFont="1"/>
    <xf borderId="2" fillId="0" fontId="1" numFmtId="0" xfId="0" applyBorder="1" applyFont="1"/>
    <xf borderId="3" fillId="0" fontId="17" numFmtId="0" xfId="0" applyAlignment="1" applyBorder="1" applyFont="1">
      <alignment readingOrder="0" vertical="bottom"/>
    </xf>
    <xf borderId="1" fillId="5" fontId="12" numFmtId="0" xfId="0" applyAlignment="1" applyBorder="1" applyFill="1" applyFont="1">
      <alignment horizontal="left" shrinkToFit="0" vertical="top" wrapText="1"/>
    </xf>
    <xf borderId="7" fillId="0" fontId="18" numFmtId="0" xfId="0" applyBorder="1" applyFont="1"/>
    <xf borderId="3" fillId="0" fontId="19" numFmtId="0" xfId="0" applyAlignment="1" applyBorder="1" applyFont="1">
      <alignment vertical="bottom"/>
    </xf>
    <xf borderId="1" fillId="5" fontId="13" numFmtId="0" xfId="0" applyAlignment="1" applyBorder="1" applyFill="1" applyFont="1">
      <alignment horizontal="center" shrinkToFit="0" vertical="top" wrapText="1"/>
    </xf>
    <xf borderId="3" fillId="2" fontId="19" numFmtId="0" xfId="0" applyAlignment="1" applyBorder="1" applyFill="1" applyFont="1">
      <alignment vertical="bottom"/>
    </xf>
    <xf borderId="1" fillId="5" fontId="15" numFmtId="0" xfId="0" applyAlignment="1" applyBorder="1" applyFill="1" applyFont="1">
      <alignment horizontal="left" shrinkToFit="0" vertical="top" wrapText="1"/>
    </xf>
    <xf borderId="2" fillId="0" fontId="20" numFmtId="0" xfId="0" applyAlignment="1" applyBorder="1" applyFont="1">
      <alignment readingOrder="0"/>
    </xf>
    <xf borderId="0" fillId="0" fontId="3" numFmtId="0" xfId="0" applyAlignment="1" applyFont="1">
      <alignment horizontal="right" readingOrder="0" shrinkToFit="0" wrapText="0"/>
    </xf>
    <xf borderId="0" fillId="0" fontId="21" numFmtId="0" xfId="0" applyAlignment="1" applyFont="1">
      <alignment readingOrder="0" shrinkToFit="0" wrapText="0"/>
    </xf>
    <xf borderId="8" fillId="0" fontId="14" numFmtId="0" xfId="0" applyBorder="1" applyFont="1"/>
    <xf borderId="1" fillId="6" fontId="10" numFmtId="0" xfId="0" applyAlignment="1" applyBorder="1" applyFill="1" applyFont="1">
      <alignment horizontal="center" shrinkToFit="0" vertical="top" wrapText="1"/>
    </xf>
    <xf borderId="2" fillId="0" fontId="22" numFmtId="0" xfId="0" applyBorder="1" applyFont="1"/>
    <xf borderId="1" fillId="6" fontId="11" numFmtId="0" xfId="0" applyAlignment="1" applyBorder="1" applyFill="1" applyFont="1">
      <alignment horizontal="left" shrinkToFit="0" vertical="top" wrapText="1"/>
    </xf>
    <xf borderId="3" fillId="0" fontId="23" numFmtId="0" xfId="0" applyAlignment="1" applyBorder="1" applyFont="1">
      <alignment vertical="bottom"/>
    </xf>
    <xf borderId="0" fillId="0" fontId="24" numFmtId="0" xfId="0" applyFont="1"/>
    <xf borderId="3" fillId="0" fontId="25" numFmtId="0" xfId="0" applyAlignment="1" applyBorder="1" applyFont="1">
      <alignment vertical="bottom"/>
    </xf>
    <xf borderId="1" fillId="6" fontId="12" numFmtId="0" xfId="0" applyAlignment="1" applyBorder="1" applyFill="1" applyFont="1">
      <alignment horizontal="left" shrinkToFit="0" vertical="top" wrapText="1"/>
    </xf>
    <xf borderId="0" fillId="0" fontId="26" numFmtId="0" xfId="0" applyFont="1"/>
    <xf borderId="1" fillId="6" fontId="13" numFmtId="0" xfId="0" applyAlignment="1" applyBorder="1" applyFill="1" applyFont="1">
      <alignment horizontal="center" shrinkToFit="0" vertical="top" wrapText="1"/>
    </xf>
    <xf borderId="0" fillId="0" fontId="27" numFmtId="0" xfId="0" applyAlignment="1" applyFont="1">
      <alignment shrinkToFit="0" vertical="top" wrapText="1"/>
    </xf>
    <xf borderId="1" fillId="2" fontId="28" numFmtId="0" xfId="0" applyAlignment="1" applyBorder="1" applyFill="1" applyFont="1">
      <alignment horizontal="center" shrinkToFit="0" vertical="center" wrapText="1"/>
    </xf>
    <xf borderId="1" fillId="6" fontId="15" numFmtId="0" xfId="0" applyAlignment="1" applyBorder="1" applyFill="1" applyFont="1">
      <alignment horizontal="left" shrinkToFit="0" vertical="top" wrapText="1"/>
    </xf>
    <xf borderId="9" fillId="0" fontId="14" numFmtId="0" xfId="0" applyBorder="1" applyFont="1"/>
    <xf borderId="1" fillId="2" fontId="29" numFmtId="0" xfId="0" applyAlignment="1" applyBorder="1" applyFill="1" applyFont="1">
      <alignment horizontal="left" shrinkToFit="0" vertical="top" wrapText="1"/>
    </xf>
    <xf borderId="2" fillId="0" fontId="18" numFmtId="0" xfId="0" applyBorder="1" applyFont="1"/>
    <xf borderId="1" fillId="2" fontId="13" numFmtId="0" xfId="0" applyAlignment="1" applyBorder="1" applyFill="1" applyFont="1">
      <alignment horizontal="center" shrinkToFit="0" vertical="center" wrapText="1"/>
    </xf>
    <xf borderId="1" fillId="7" fontId="10" numFmtId="0" xfId="0" applyAlignment="1" applyBorder="1" applyFill="1" applyFont="1">
      <alignment horizontal="center" shrinkToFit="0" vertical="top" wrapText="1"/>
    </xf>
    <xf borderId="1" fillId="7" fontId="11" numFmtId="0" xfId="0" applyAlignment="1" applyBorder="1" applyFill="1" applyFont="1">
      <alignment horizontal="left" shrinkToFit="0" vertical="top" wrapText="1"/>
    </xf>
    <xf borderId="2" fillId="0" fontId="1" numFmtId="0" xfId="0" applyAlignment="1" applyBorder="1" applyFont="1">
      <alignment readingOrder="0" vertical="bottom"/>
    </xf>
    <xf borderId="1" fillId="3" fontId="28" numFmtId="0" xfId="0" applyAlignment="1" applyBorder="1" applyFill="1" applyFont="1">
      <alignment horizontal="center" shrinkToFit="0" vertical="center" wrapText="1"/>
    </xf>
    <xf borderId="1" fillId="7" fontId="12" numFmtId="0" xfId="0" applyAlignment="1" applyBorder="1" applyFill="1" applyFont="1">
      <alignment horizontal="left" shrinkToFit="0" vertical="top" wrapText="1"/>
    </xf>
    <xf borderId="1" fillId="3" fontId="29" numFmtId="0" xfId="0" applyAlignment="1" applyBorder="1" applyFill="1" applyFont="1">
      <alignment horizontal="left" shrinkToFit="0" vertical="top" wrapText="1"/>
    </xf>
    <xf borderId="0" fillId="8" fontId="30" numFmtId="0" xfId="0" applyAlignment="1" applyFill="1" applyFont="1">
      <alignment horizontal="center" readingOrder="0" shrinkToFit="0" vertical="center" wrapText="1"/>
    </xf>
    <xf borderId="1" fillId="7" fontId="13" numFmtId="0" xfId="0" applyAlignment="1" applyBorder="1" applyFill="1" applyFont="1">
      <alignment horizontal="center" shrinkToFit="0" vertical="top" wrapText="1"/>
    </xf>
    <xf borderId="0" fillId="9" fontId="31" numFmtId="0" xfId="0" applyAlignment="1" applyFill="1" applyFont="1">
      <alignment horizontal="center" readingOrder="0" shrinkToFit="0" vertical="center" wrapText="1"/>
    </xf>
    <xf borderId="1" fillId="3" fontId="12" numFmtId="0" xfId="0" applyAlignment="1" applyBorder="1" applyFill="1" applyFont="1">
      <alignment horizontal="left" shrinkToFit="0" vertical="top" wrapText="1"/>
    </xf>
    <xf borderId="1" fillId="7" fontId="15" numFmtId="0" xfId="0" applyAlignment="1" applyBorder="1" applyFill="1" applyFont="1">
      <alignment horizontal="left" shrinkToFit="0" vertical="top" wrapText="1"/>
    </xf>
    <xf borderId="1" fillId="3" fontId="13" numFmtId="0" xfId="0" applyAlignment="1" applyBorder="1" applyFill="1" applyFont="1">
      <alignment horizontal="center" shrinkToFit="0" vertical="center" wrapText="1"/>
    </xf>
    <xf borderId="10" fillId="10" fontId="32" numFmtId="0" xfId="0" applyAlignment="1" applyBorder="1" applyFill="1" applyFont="1">
      <alignment horizontal="center" readingOrder="0" shrinkToFit="0" vertical="center" wrapText="1"/>
    </xf>
    <xf borderId="10" fillId="11" fontId="33" numFmtId="0" xfId="0" applyAlignment="1" applyBorder="1" applyFill="1" applyFont="1">
      <alignment readingOrder="0" shrinkToFit="0" vertical="top" wrapText="1"/>
    </xf>
    <xf borderId="10" fillId="0" fontId="27" numFmtId="0" xfId="0" applyAlignment="1" applyBorder="1" applyFont="1">
      <alignment readingOrder="0" shrinkToFit="0" vertical="top" wrapText="1"/>
    </xf>
    <xf borderId="10" fillId="12" fontId="27" numFmtId="0" xfId="0" applyAlignment="1" applyBorder="1" applyFill="1" applyFont="1">
      <alignment readingOrder="0" shrinkToFit="0" vertical="top" wrapText="1"/>
    </xf>
    <xf borderId="0" fillId="0" fontId="6" numFmtId="0" xfId="0" applyFont="1"/>
    <xf borderId="0" fillId="8" fontId="34" numFmtId="0" xfId="0" applyAlignment="1" applyFill="1" applyFont="1">
      <alignment horizontal="left" readingOrder="0" shrinkToFit="0" vertical="center" wrapText="1"/>
    </xf>
    <xf borderId="10" fillId="0" fontId="35" numFmtId="0" xfId="0" applyAlignment="1" applyBorder="1" applyFont="1">
      <alignment readingOrder="0" shrinkToFit="0" vertical="top" wrapText="1"/>
    </xf>
    <xf borderId="10" fillId="0" fontId="27" numFmtId="0" xfId="0" applyAlignment="1" applyBorder="1" applyFont="1">
      <alignment horizontal="center" readingOrder="0" shrinkToFit="0" vertical="center" wrapText="1"/>
    </xf>
    <xf borderId="10" fillId="12" fontId="35" numFmtId="0" xfId="0" applyAlignment="1" applyBorder="1" applyFill="1" applyFont="1">
      <alignment readingOrder="0" shrinkToFit="0" vertical="top" wrapText="1"/>
    </xf>
    <xf borderId="10" fillId="12" fontId="27" numFmtId="0" xfId="0" applyAlignment="1" applyBorder="1" applyFill="1" applyFont="1">
      <alignment horizontal="center" readingOrder="0" shrinkToFit="0" vertical="center" wrapText="1"/>
    </xf>
    <xf borderId="0" fillId="0" fontId="36" numFmtId="0" xfId="0" applyAlignment="1" applyFont="1">
      <alignment readingOrder="0"/>
    </xf>
    <xf borderId="0" fillId="0" fontId="3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eet.google.com/yux-edjs-hbe?authuser=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22.0"/>
    <col customWidth="1" min="3" max="3" width="35.0"/>
    <col customWidth="1" min="4" max="4" width="16.0"/>
    <col customWidth="1" min="5" max="5" width="28.0"/>
    <col customWidth="1" min="6" max="6" width="50.0"/>
    <col customWidth="1" min="7" max="26" width="8.71"/>
  </cols>
  <sheetData>
    <row r="1">
      <c r="A1" s="4" t="s">
        <v>1</v>
      </c>
    </row>
    <row r="2">
      <c r="A2" s="1"/>
      <c r="B2" s="1"/>
      <c r="C2" s="1"/>
      <c r="D2" s="1"/>
      <c r="E2" s="6"/>
    </row>
    <row r="3">
      <c r="A3" s="1"/>
      <c r="B3" s="1"/>
      <c r="C3" s="1"/>
      <c r="D3" s="1"/>
      <c r="E3" s="6"/>
    </row>
    <row r="4">
      <c r="A4" s="8" t="s">
        <v>5</v>
      </c>
      <c r="B4" s="10" t="s">
        <v>7</v>
      </c>
      <c r="C4" s="16"/>
      <c r="D4" s="23"/>
      <c r="E4" s="6"/>
    </row>
    <row r="5">
      <c r="A5" s="8" t="s">
        <v>21</v>
      </c>
      <c r="B5" s="25" t="s">
        <v>22</v>
      </c>
      <c r="C5" s="16"/>
      <c r="D5" s="23"/>
      <c r="E5" s="6"/>
    </row>
    <row r="6">
      <c r="A6" s="8" t="s">
        <v>27</v>
      </c>
      <c r="B6" s="28" t="s">
        <v>28</v>
      </c>
      <c r="C6" s="16"/>
      <c r="D6" s="23"/>
      <c r="E6" s="6"/>
    </row>
    <row r="7">
      <c r="A7" s="8" t="s">
        <v>30</v>
      </c>
      <c r="B7" s="30"/>
      <c r="C7" s="16"/>
      <c r="D7" s="23"/>
      <c r="E7" s="1"/>
    </row>
    <row r="8">
      <c r="A8" s="8" t="s">
        <v>32</v>
      </c>
      <c r="B8" s="39" t="s">
        <v>33</v>
      </c>
      <c r="C8" s="16"/>
      <c r="D8" s="23"/>
      <c r="E8" s="1"/>
    </row>
    <row r="9">
      <c r="A9" s="8" t="s">
        <v>62</v>
      </c>
      <c r="B9" s="41" t="s">
        <v>63</v>
      </c>
      <c r="C9" s="16"/>
      <c r="D9" s="23"/>
      <c r="E9" s="1"/>
    </row>
    <row r="16">
      <c r="A16" s="2" t="s">
        <v>65</v>
      </c>
    </row>
    <row r="17">
      <c r="A17" s="43" t="s">
        <v>66</v>
      </c>
    </row>
    <row r="19">
      <c r="A19" s="11" t="s">
        <v>23</v>
      </c>
      <c r="B19" s="11" t="s">
        <v>68</v>
      </c>
      <c r="C19" s="11" t="s">
        <v>69</v>
      </c>
      <c r="D19" s="11" t="s">
        <v>70</v>
      </c>
      <c r="E19" s="11" t="s">
        <v>72</v>
      </c>
      <c r="F19" s="11" t="s">
        <v>73</v>
      </c>
    </row>
    <row r="20">
      <c r="A20" s="46">
        <v>1.0</v>
      </c>
      <c r="B20" s="49" t="s">
        <v>74</v>
      </c>
      <c r="C20" s="14" t="s">
        <v>86</v>
      </c>
      <c r="D20" s="51" t="s">
        <v>16</v>
      </c>
      <c r="E20" s="14"/>
      <c r="F20" s="14"/>
    </row>
    <row r="21" ht="15.75" customHeight="1">
      <c r="A21" s="55">
        <v>2.0</v>
      </c>
      <c r="B21" s="57" t="s">
        <v>91</v>
      </c>
      <c r="C21" s="61" t="s">
        <v>93</v>
      </c>
      <c r="D21" s="63" t="s">
        <v>97</v>
      </c>
      <c r="E21" s="61"/>
      <c r="F21" s="61"/>
    </row>
    <row r="22" ht="15.75" customHeight="1">
      <c r="A22" s="46">
        <v>3.0</v>
      </c>
      <c r="B22" s="49" t="s">
        <v>101</v>
      </c>
      <c r="C22" s="14" t="s">
        <v>102</v>
      </c>
      <c r="D22" s="51" t="s">
        <v>29</v>
      </c>
      <c r="E22" s="14"/>
      <c r="F22" s="14"/>
    </row>
    <row r="23" ht="15.75" customHeight="1">
      <c r="A23" s="55">
        <v>4.0</v>
      </c>
      <c r="B23" s="57" t="s">
        <v>104</v>
      </c>
      <c r="C23" s="61" t="s">
        <v>105</v>
      </c>
      <c r="D23" s="63" t="s">
        <v>36</v>
      </c>
      <c r="E23" s="61"/>
      <c r="F23" s="6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E1"/>
    <mergeCell ref="B4:D4"/>
    <mergeCell ref="B5:D5"/>
    <mergeCell ref="B6:D6"/>
    <mergeCell ref="B7:D7"/>
    <mergeCell ref="B8:D8"/>
    <mergeCell ref="B9:D9"/>
  </mergeCells>
  <hyperlinks>
    <hyperlink r:id="rId1" ref="B8"/>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8.0"/>
    <col customWidth="1" min="3" max="3" width="75.0"/>
    <col customWidth="1" min="4" max="4" width="14.0"/>
    <col customWidth="1" min="5" max="5" width="50.0"/>
    <col customWidth="1" min="6" max="26" width="8.71"/>
  </cols>
  <sheetData>
    <row r="2">
      <c r="A2" s="2" t="s">
        <v>0</v>
      </c>
    </row>
    <row r="4">
      <c r="A4" s="5" t="s">
        <v>2</v>
      </c>
      <c r="B4" s="7" t="s">
        <v>4</v>
      </c>
      <c r="C4" s="7" t="s">
        <v>6</v>
      </c>
      <c r="E4" s="9"/>
    </row>
    <row r="6">
      <c r="A6" s="11" t="s">
        <v>8</v>
      </c>
      <c r="B6" s="11" t="s">
        <v>9</v>
      </c>
      <c r="C6" s="11" t="s">
        <v>10</v>
      </c>
      <c r="D6" s="11" t="s">
        <v>11</v>
      </c>
      <c r="E6" s="11" t="s">
        <v>12</v>
      </c>
    </row>
    <row r="7">
      <c r="A7" s="12" t="s">
        <v>13</v>
      </c>
      <c r="B7" s="13" t="s">
        <v>14</v>
      </c>
      <c r="C7" s="14" t="s">
        <v>15</v>
      </c>
      <c r="D7" s="15" t="s">
        <v>16</v>
      </c>
      <c r="E7" s="17" t="s">
        <v>17</v>
      </c>
    </row>
    <row r="8">
      <c r="A8" s="19" t="s">
        <v>13</v>
      </c>
      <c r="B8" s="21" t="s">
        <v>19</v>
      </c>
      <c r="C8" s="26" t="s">
        <v>20</v>
      </c>
      <c r="D8" s="29" t="s">
        <v>29</v>
      </c>
      <c r="E8" s="31" t="s">
        <v>31</v>
      </c>
    </row>
    <row r="9">
      <c r="A9" s="12" t="s">
        <v>13</v>
      </c>
      <c r="B9" s="13" t="s">
        <v>34</v>
      </c>
      <c r="C9" s="14" t="s">
        <v>35</v>
      </c>
      <c r="D9" s="15" t="s">
        <v>36</v>
      </c>
      <c r="E9" s="17" t="s">
        <v>37</v>
      </c>
    </row>
    <row r="10">
      <c r="A10" s="19" t="s">
        <v>13</v>
      </c>
      <c r="B10" s="21" t="s">
        <v>38</v>
      </c>
      <c r="C10" s="26" t="s">
        <v>39</v>
      </c>
      <c r="D10" s="29" t="s">
        <v>29</v>
      </c>
      <c r="E10" s="31" t="s">
        <v>40</v>
      </c>
    </row>
    <row r="11">
      <c r="A11" s="12" t="s">
        <v>13</v>
      </c>
      <c r="B11" s="13" t="s">
        <v>41</v>
      </c>
      <c r="C11" s="14" t="s">
        <v>42</v>
      </c>
      <c r="D11" s="15" t="s">
        <v>29</v>
      </c>
      <c r="E11" s="17" t="s">
        <v>43</v>
      </c>
    </row>
    <row r="12">
      <c r="A12" s="19" t="s">
        <v>13</v>
      </c>
      <c r="B12" s="21" t="s">
        <v>44</v>
      </c>
      <c r="C12" s="26" t="s">
        <v>45</v>
      </c>
      <c r="D12" s="29" t="s">
        <v>16</v>
      </c>
      <c r="E12" s="31" t="s">
        <v>46</v>
      </c>
    </row>
    <row r="13">
      <c r="A13" s="12" t="s">
        <v>13</v>
      </c>
      <c r="B13" s="13" t="s">
        <v>47</v>
      </c>
      <c r="C13" s="14" t="s">
        <v>48</v>
      </c>
      <c r="D13" s="15" t="s">
        <v>29</v>
      </c>
      <c r="E13" s="17" t="s">
        <v>50</v>
      </c>
    </row>
    <row r="14">
      <c r="A14" s="19" t="s">
        <v>13</v>
      </c>
      <c r="B14" s="21" t="s">
        <v>51</v>
      </c>
      <c r="C14" s="26" t="s">
        <v>53</v>
      </c>
      <c r="D14" s="29" t="s">
        <v>36</v>
      </c>
      <c r="E14" s="31" t="s">
        <v>54</v>
      </c>
    </row>
    <row r="15">
      <c r="A15" s="12" t="s">
        <v>55</v>
      </c>
      <c r="B15" s="13" t="s">
        <v>56</v>
      </c>
      <c r="C15" s="14" t="s">
        <v>57</v>
      </c>
      <c r="D15" s="15" t="s">
        <v>36</v>
      </c>
      <c r="E15" s="17" t="s">
        <v>58</v>
      </c>
    </row>
    <row r="16">
      <c r="A16" s="36" t="s">
        <v>55</v>
      </c>
      <c r="B16" s="38" t="s">
        <v>59</v>
      </c>
      <c r="C16" s="42" t="s">
        <v>61</v>
      </c>
      <c r="D16" s="44" t="s">
        <v>36</v>
      </c>
      <c r="E16" s="47" t="s">
        <v>71</v>
      </c>
    </row>
    <row r="17">
      <c r="A17" s="12" t="s">
        <v>55</v>
      </c>
      <c r="B17" s="13" t="s">
        <v>75</v>
      </c>
      <c r="C17" s="14" t="s">
        <v>76</v>
      </c>
      <c r="D17" s="15" t="s">
        <v>36</v>
      </c>
      <c r="E17" s="17" t="s">
        <v>77</v>
      </c>
    </row>
    <row r="18">
      <c r="A18" s="36" t="s">
        <v>55</v>
      </c>
      <c r="B18" s="38" t="s">
        <v>78</v>
      </c>
      <c r="C18" s="42" t="s">
        <v>79</v>
      </c>
      <c r="D18" s="44" t="s">
        <v>36</v>
      </c>
      <c r="E18" s="47" t="s">
        <v>80</v>
      </c>
    </row>
    <row r="19">
      <c r="A19" s="12" t="s">
        <v>81</v>
      </c>
      <c r="B19" s="13" t="s">
        <v>82</v>
      </c>
      <c r="C19" s="14" t="s">
        <v>83</v>
      </c>
      <c r="D19" s="15" t="s">
        <v>36</v>
      </c>
      <c r="E19" s="17" t="s">
        <v>84</v>
      </c>
    </row>
    <row r="20">
      <c r="A20" s="52" t="s">
        <v>81</v>
      </c>
      <c r="B20" s="53" t="s">
        <v>88</v>
      </c>
      <c r="C20" s="56" t="s">
        <v>89</v>
      </c>
      <c r="D20" s="59" t="s">
        <v>16</v>
      </c>
      <c r="E20" s="62" t="s">
        <v>95</v>
      </c>
    </row>
    <row r="21" ht="15.75" customHeight="1">
      <c r="A21" s="12" t="s">
        <v>81</v>
      </c>
      <c r="B21" s="13" t="s">
        <v>98</v>
      </c>
      <c r="C21" s="14" t="s">
        <v>99</v>
      </c>
      <c r="D21" s="15" t="s">
        <v>16</v>
      </c>
      <c r="E21" s="17" t="s">
        <v>100</v>
      </c>
    </row>
    <row r="22" ht="15.75" customHeight="1">
      <c r="A22" s="52" t="s">
        <v>81</v>
      </c>
      <c r="B22" s="53" t="s">
        <v>103</v>
      </c>
      <c r="C22" s="56" t="s">
        <v>106</v>
      </c>
      <c r="D22" s="59" t="s">
        <v>16</v>
      </c>
      <c r="E22" s="62" t="s">
        <v>107</v>
      </c>
    </row>
    <row r="23" ht="15.75" customHeight="1">
      <c r="A23" s="12" t="s">
        <v>81</v>
      </c>
      <c r="B23" s="13" t="s">
        <v>110</v>
      </c>
      <c r="C23" s="14" t="s">
        <v>114</v>
      </c>
      <c r="D23" s="15" t="s">
        <v>29</v>
      </c>
      <c r="E23" s="17" t="s">
        <v>115</v>
      </c>
    </row>
    <row r="24" ht="15.75" customHeight="1">
      <c r="A24" s="52" t="s">
        <v>81</v>
      </c>
      <c r="B24" s="53" t="s">
        <v>117</v>
      </c>
      <c r="C24" s="56" t="s">
        <v>118</v>
      </c>
      <c r="D24" s="59" t="s">
        <v>97</v>
      </c>
      <c r="E24" s="62" t="s">
        <v>119</v>
      </c>
    </row>
    <row r="25" ht="15.75" customHeight="1">
      <c r="A25" s="12" t="s">
        <v>81</v>
      </c>
      <c r="B25" s="13" t="s">
        <v>121</v>
      </c>
      <c r="C25" s="14" t="s">
        <v>122</v>
      </c>
      <c r="D25" s="15" t="s">
        <v>29</v>
      </c>
      <c r="E25" s="17" t="s">
        <v>123</v>
      </c>
    </row>
    <row r="26" ht="15.75" customHeight="1">
      <c r="A26" s="52" t="s">
        <v>81</v>
      </c>
      <c r="B26" s="53" t="s">
        <v>126</v>
      </c>
      <c r="C26" s="56" t="s">
        <v>129</v>
      </c>
      <c r="D26" s="59" t="s">
        <v>16</v>
      </c>
      <c r="E26" s="62" t="s">
        <v>132</v>
      </c>
    </row>
    <row r="27" ht="15.75" customHeight="1">
      <c r="A27" s="12" t="s">
        <v>81</v>
      </c>
      <c r="B27" s="13" t="s">
        <v>133</v>
      </c>
      <c r="C27" s="14" t="s">
        <v>134</v>
      </c>
      <c r="D27" s="15" t="s">
        <v>36</v>
      </c>
      <c r="E27" s="17" t="s">
        <v>135</v>
      </c>
    </row>
    <row r="28" ht="15.75" customHeight="1"/>
    <row r="29" ht="15.75" customHeight="1"/>
    <row r="30" ht="15.75" customHeight="1">
      <c r="A30" s="5" t="s">
        <v>136</v>
      </c>
    </row>
    <row r="31" ht="15.75" customHeight="1">
      <c r="A31" s="5" t="s">
        <v>139</v>
      </c>
    </row>
    <row r="32" ht="15.75" customHeight="1">
      <c r="A32" s="68" t="s">
        <v>142</v>
      </c>
    </row>
    <row r="33" ht="15.75" customHeight="1">
      <c r="A33" s="68" t="s">
        <v>150</v>
      </c>
    </row>
    <row r="34" ht="15.75" customHeight="1">
      <c r="A34" s="68" t="s">
        <v>155</v>
      </c>
    </row>
    <row r="35" ht="15.75" customHeight="1">
      <c r="A35" s="68" t="s">
        <v>157</v>
      </c>
    </row>
    <row r="36" ht="15.75" customHeight="1">
      <c r="A36" s="68" t="s">
        <v>161</v>
      </c>
    </row>
    <row r="37" ht="15.75" customHeight="1">
      <c r="A37" s="68" t="s">
        <v>165</v>
      </c>
    </row>
    <row r="38" ht="15.75" customHeight="1">
      <c r="A38" s="68" t="s">
        <v>168</v>
      </c>
    </row>
    <row r="39" ht="15.75" customHeight="1"/>
    <row r="40" ht="15.75" customHeight="1">
      <c r="A40" s="5" t="s">
        <v>173</v>
      </c>
    </row>
    <row r="41" ht="15.75" customHeight="1">
      <c r="A41" s="68" t="s">
        <v>177</v>
      </c>
    </row>
    <row r="42" ht="15.75" customHeight="1">
      <c r="A42" s="68" t="s">
        <v>181</v>
      </c>
    </row>
    <row r="43" ht="15.75" customHeight="1">
      <c r="A43" s="68" t="s">
        <v>183</v>
      </c>
    </row>
    <row r="44" ht="15.75" customHeight="1">
      <c r="A44" s="68" t="s">
        <v>187</v>
      </c>
    </row>
    <row r="45" ht="15.75" customHeight="1">
      <c r="A45" s="68" t="s">
        <v>190</v>
      </c>
    </row>
    <row r="46" ht="15.75" customHeight="1">
      <c r="A46" s="68" t="s">
        <v>191</v>
      </c>
    </row>
    <row r="47" ht="15.75" customHeight="1">
      <c r="A47" s="68" t="s">
        <v>192</v>
      </c>
    </row>
    <row r="48" ht="15.75" customHeight="1"/>
    <row r="49" ht="15.75" customHeight="1">
      <c r="A49" s="5" t="s">
        <v>194</v>
      </c>
    </row>
    <row r="50" ht="15.75" customHeight="1">
      <c r="A50" s="68" t="s">
        <v>195</v>
      </c>
    </row>
    <row r="51" ht="15.75" customHeight="1">
      <c r="A51" s="68" t="s">
        <v>198</v>
      </c>
    </row>
    <row r="52" ht="15.75" customHeight="1">
      <c r="A52" s="68" t="s">
        <v>203</v>
      </c>
    </row>
    <row r="53" ht="15.75" customHeight="1">
      <c r="A53" s="68" t="s">
        <v>205</v>
      </c>
    </row>
    <row r="54" ht="15.75" customHeight="1">
      <c r="A54" s="68" t="s">
        <v>207</v>
      </c>
    </row>
    <row r="55" ht="15.75" customHeight="1"/>
    <row r="56" ht="15.75" customHeight="1">
      <c r="A56" s="5" t="s">
        <v>208</v>
      </c>
    </row>
    <row r="57" ht="15.75" customHeight="1">
      <c r="A57" s="68" t="s">
        <v>209</v>
      </c>
    </row>
    <row r="58" ht="15.75" customHeight="1">
      <c r="A58" s="68" t="s">
        <v>212</v>
      </c>
    </row>
    <row r="59" ht="15.75" customHeight="1">
      <c r="A59" s="68" t="s">
        <v>216</v>
      </c>
    </row>
    <row r="60" ht="15.75" customHeight="1">
      <c r="A60" s="68" t="s">
        <v>217</v>
      </c>
    </row>
    <row r="61" ht="15.75" customHeight="1">
      <c r="A61" s="68" t="s">
        <v>219</v>
      </c>
    </row>
    <row r="62" ht="15.75" customHeight="1">
      <c r="A62" s="68" t="s">
        <v>220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14"/>
    <col customWidth="1" min="2" max="3" width="35.86"/>
    <col customWidth="1" min="4" max="4" width="40.14"/>
    <col customWidth="1" min="5" max="6" width="33.0"/>
    <col customWidth="1" min="7" max="7" width="23.0"/>
    <col customWidth="1" min="8" max="8" width="45.86"/>
  </cols>
  <sheetData>
    <row r="1" ht="20.25" customHeight="1">
      <c r="A1" s="1"/>
      <c r="B1" s="1"/>
      <c r="H1" s="3"/>
      <c r="I1" s="3"/>
    </row>
    <row r="2" ht="20.25" customHeight="1">
      <c r="A2" s="4" t="s">
        <v>3</v>
      </c>
      <c r="H2" s="3"/>
      <c r="I2" s="3"/>
    </row>
    <row r="3" ht="20.25" customHeight="1">
      <c r="A3" s="1"/>
      <c r="B3" s="1"/>
      <c r="H3" s="3"/>
      <c r="I3" s="3"/>
    </row>
    <row r="4" ht="21.0" customHeight="1">
      <c r="A4" s="18"/>
      <c r="B4" s="20" t="s">
        <v>18</v>
      </c>
      <c r="H4" s="3"/>
      <c r="I4" s="22"/>
    </row>
    <row r="5">
      <c r="A5" s="24"/>
      <c r="B5" s="24"/>
      <c r="C5" s="22" t="s">
        <v>23</v>
      </c>
      <c r="D5" s="22" t="s">
        <v>24</v>
      </c>
      <c r="E5" s="22" t="s">
        <v>25</v>
      </c>
      <c r="F5" s="22"/>
      <c r="G5" s="22"/>
      <c r="H5" s="3"/>
      <c r="I5" s="22"/>
    </row>
    <row r="6">
      <c r="A6" s="27" t="s">
        <v>26</v>
      </c>
      <c r="B6" s="32" t="str">
        <f>HYPERLINK("1_phan_tich_cgv.md", " file CGV.md")
</f>
        <v> file CGV.md</v>
      </c>
      <c r="C6" s="33">
        <v>1.0</v>
      </c>
      <c r="D6" s="22" t="s">
        <v>49</v>
      </c>
      <c r="E6" s="22" t="s">
        <v>52</v>
      </c>
      <c r="F6" s="22"/>
      <c r="G6" s="34"/>
      <c r="H6" s="3"/>
      <c r="I6" s="22"/>
    </row>
    <row r="7">
      <c r="A7" s="35"/>
      <c r="B7" s="37" t="str">
        <f>HYPERLINK("2_phan_tich_galaxy.md", " file Galaxy.md")</f>
        <v> file Galaxy.md</v>
      </c>
      <c r="C7" s="33">
        <v>2.0</v>
      </c>
      <c r="D7" s="22" t="s">
        <v>60</v>
      </c>
      <c r="E7" s="22" t="s">
        <v>52</v>
      </c>
      <c r="F7" s="22"/>
      <c r="G7" s="34"/>
      <c r="H7" s="3"/>
      <c r="I7" s="22"/>
    </row>
    <row r="8">
      <c r="A8" s="35"/>
      <c r="B8" s="40" t="str">
        <f>HYPERLINK("3_phan_tich_lotte.md", " file Lotte.md")</f>
        <v> file Lotte.md</v>
      </c>
      <c r="C8" s="33">
        <v>3.0</v>
      </c>
      <c r="D8" s="22" t="s">
        <v>64</v>
      </c>
      <c r="E8" s="22" t="s">
        <v>52</v>
      </c>
      <c r="F8" s="22"/>
      <c r="G8" s="34"/>
      <c r="H8" s="3"/>
      <c r="I8" s="22"/>
    </row>
    <row r="9">
      <c r="A9" s="35"/>
      <c r="B9" s="40" t="str">
        <f>HYPERLINK("4_phan_tich_beta.md", "file Beta.md")</f>
        <v>file Beta.md</v>
      </c>
      <c r="C9" s="33">
        <v>4.0</v>
      </c>
      <c r="D9" s="22" t="s">
        <v>67</v>
      </c>
      <c r="E9" s="22" t="s">
        <v>52</v>
      </c>
      <c r="F9" s="22"/>
      <c r="G9" s="34"/>
      <c r="H9" s="45"/>
    </row>
    <row r="10">
      <c r="A10" s="35"/>
      <c r="H10" s="45"/>
    </row>
    <row r="11">
      <c r="A11" s="48"/>
      <c r="C11" s="33"/>
      <c r="D11" s="22"/>
      <c r="E11" s="22"/>
      <c r="F11" s="22"/>
      <c r="G11" s="34"/>
      <c r="H11" s="45"/>
    </row>
    <row r="12">
      <c r="A12" s="50" t="s">
        <v>85</v>
      </c>
      <c r="B12" s="54" t="s">
        <v>87</v>
      </c>
      <c r="C12" s="45"/>
      <c r="D12" s="45"/>
      <c r="E12" s="45"/>
      <c r="F12" s="45"/>
      <c r="G12" s="45"/>
      <c r="H12" s="45"/>
    </row>
    <row r="13">
      <c r="A13" s="50" t="s">
        <v>90</v>
      </c>
      <c r="B13" s="18"/>
      <c r="C13" s="45"/>
      <c r="D13" s="45"/>
      <c r="E13" s="45"/>
      <c r="F13" s="45"/>
      <c r="G13" s="45"/>
      <c r="H13" s="45"/>
    </row>
    <row r="14">
      <c r="A14" s="45"/>
      <c r="B14" s="45"/>
      <c r="C14" s="45"/>
      <c r="D14" s="45"/>
      <c r="E14" s="45"/>
      <c r="F14" s="45"/>
      <c r="G14" s="45"/>
      <c r="H14" s="45"/>
    </row>
    <row r="15">
      <c r="A15" s="45"/>
      <c r="B15" s="45"/>
      <c r="C15" s="45"/>
      <c r="D15" s="45"/>
      <c r="E15" s="45"/>
      <c r="F15" s="45"/>
      <c r="G15" s="45"/>
      <c r="H15" s="45"/>
    </row>
    <row r="16">
      <c r="A16" s="45"/>
      <c r="B16" s="45"/>
      <c r="C16" s="45"/>
      <c r="D16" s="45"/>
      <c r="E16" s="45"/>
      <c r="F16" s="45"/>
      <c r="G16" s="45"/>
      <c r="H16" s="45"/>
    </row>
    <row r="17">
      <c r="A17" s="45"/>
      <c r="B17" s="45"/>
      <c r="C17" s="45"/>
      <c r="D17" s="45"/>
      <c r="E17" s="45"/>
      <c r="F17" s="45"/>
      <c r="G17" s="45"/>
      <c r="H17" s="45"/>
    </row>
    <row r="18">
      <c r="A18" s="45"/>
      <c r="B18" s="45"/>
      <c r="C18" s="45"/>
      <c r="D18" s="45"/>
      <c r="E18" s="45"/>
      <c r="F18" s="45"/>
      <c r="G18" s="45"/>
      <c r="H18" s="45"/>
    </row>
    <row r="19">
      <c r="A19" s="58" t="s">
        <v>92</v>
      </c>
      <c r="H19" s="45"/>
    </row>
    <row r="20">
      <c r="A20" s="60" t="s">
        <v>94</v>
      </c>
      <c r="H20" s="45"/>
    </row>
    <row r="21">
      <c r="A21" s="64" t="s">
        <v>96</v>
      </c>
      <c r="B21" s="64" t="s">
        <v>108</v>
      </c>
      <c r="C21" s="64" t="s">
        <v>109</v>
      </c>
      <c r="D21" s="64" t="s">
        <v>111</v>
      </c>
      <c r="E21" s="64" t="s">
        <v>112</v>
      </c>
      <c r="F21" s="64" t="s">
        <v>113</v>
      </c>
      <c r="G21" s="45"/>
      <c r="H21" s="45"/>
    </row>
    <row r="22">
      <c r="A22" s="65" t="s">
        <v>116</v>
      </c>
      <c r="B22" s="66" t="s">
        <v>120</v>
      </c>
      <c r="C22" s="66" t="s">
        <v>124</v>
      </c>
      <c r="D22" s="66" t="s">
        <v>125</v>
      </c>
      <c r="E22" s="66" t="s">
        <v>127</v>
      </c>
      <c r="F22" s="66" t="s">
        <v>128</v>
      </c>
      <c r="G22" s="45"/>
      <c r="H22" s="45"/>
    </row>
    <row r="23">
      <c r="A23" s="65" t="s">
        <v>130</v>
      </c>
      <c r="B23" s="67" t="s">
        <v>131</v>
      </c>
      <c r="C23" s="67" t="s">
        <v>137</v>
      </c>
      <c r="D23" s="67" t="s">
        <v>138</v>
      </c>
      <c r="E23" s="67" t="s">
        <v>140</v>
      </c>
      <c r="F23" s="67" t="s">
        <v>141</v>
      </c>
      <c r="G23" s="45"/>
      <c r="H23" s="45"/>
    </row>
    <row r="24">
      <c r="A24" s="65" t="s">
        <v>143</v>
      </c>
      <c r="B24" s="66" t="s">
        <v>144</v>
      </c>
      <c r="C24" s="66" t="s">
        <v>145</v>
      </c>
      <c r="D24" s="66" t="s">
        <v>146</v>
      </c>
      <c r="E24" s="66" t="s">
        <v>147</v>
      </c>
      <c r="F24" s="66" t="s">
        <v>148</v>
      </c>
      <c r="G24" s="45"/>
      <c r="H24" s="45"/>
    </row>
    <row r="25">
      <c r="A25" s="65" t="s">
        <v>149</v>
      </c>
      <c r="B25" s="67" t="s">
        <v>151</v>
      </c>
      <c r="C25" s="67" t="s">
        <v>152</v>
      </c>
      <c r="D25" s="67" t="s">
        <v>153</v>
      </c>
      <c r="E25" s="67" t="s">
        <v>154</v>
      </c>
      <c r="F25" s="67" t="s">
        <v>156</v>
      </c>
      <c r="G25" s="45"/>
      <c r="H25" s="45"/>
    </row>
    <row r="26">
      <c r="A26" s="65" t="s">
        <v>158</v>
      </c>
      <c r="B26" s="66" t="s">
        <v>159</v>
      </c>
      <c r="C26" s="66" t="s">
        <v>160</v>
      </c>
      <c r="D26" s="66" t="s">
        <v>162</v>
      </c>
      <c r="E26" s="66" t="s">
        <v>163</v>
      </c>
      <c r="F26" s="66" t="s">
        <v>164</v>
      </c>
      <c r="G26" s="45"/>
      <c r="H26" s="45"/>
    </row>
    <row r="27">
      <c r="A27" s="65" t="s">
        <v>166</v>
      </c>
      <c r="B27" s="67" t="s">
        <v>167</v>
      </c>
      <c r="C27" s="67" t="s">
        <v>169</v>
      </c>
      <c r="D27" s="67" t="s">
        <v>170</v>
      </c>
      <c r="E27" s="67" t="s">
        <v>171</v>
      </c>
      <c r="F27" s="67" t="s">
        <v>172</v>
      </c>
      <c r="G27" s="45"/>
      <c r="H27" s="45"/>
    </row>
    <row r="28">
      <c r="A28" s="65" t="s">
        <v>174</v>
      </c>
      <c r="B28" s="66" t="s">
        <v>175</v>
      </c>
      <c r="C28" s="66" t="s">
        <v>176</v>
      </c>
      <c r="D28" s="66" t="s">
        <v>178</v>
      </c>
      <c r="E28" s="66" t="s">
        <v>179</v>
      </c>
      <c r="F28" s="66" t="s">
        <v>180</v>
      </c>
      <c r="G28" s="45"/>
      <c r="H28" s="45"/>
    </row>
    <row r="29">
      <c r="A29" s="65" t="s">
        <v>182</v>
      </c>
      <c r="B29" s="67" t="s">
        <v>184</v>
      </c>
      <c r="C29" s="67" t="s">
        <v>185</v>
      </c>
      <c r="D29" s="67" t="s">
        <v>186</v>
      </c>
      <c r="E29" s="67" t="s">
        <v>188</v>
      </c>
      <c r="F29" s="67" t="s">
        <v>189</v>
      </c>
      <c r="G29" s="45"/>
      <c r="H29" s="45"/>
    </row>
    <row r="30">
      <c r="A30" s="45"/>
      <c r="B30" s="45"/>
      <c r="C30" s="45"/>
      <c r="D30" s="45"/>
      <c r="E30" s="45"/>
      <c r="F30" s="45"/>
      <c r="G30" s="45"/>
      <c r="H30" s="45"/>
    </row>
    <row r="31">
      <c r="A31" s="45"/>
      <c r="B31" s="45"/>
      <c r="C31" s="45"/>
      <c r="D31" s="45"/>
      <c r="E31" s="45"/>
      <c r="F31" s="45"/>
      <c r="G31" s="45"/>
      <c r="H31" s="45"/>
    </row>
    <row r="32">
      <c r="A32" s="45"/>
      <c r="B32" s="45"/>
      <c r="C32" s="45"/>
      <c r="D32" s="45"/>
      <c r="E32" s="45"/>
      <c r="F32" s="45"/>
      <c r="G32" s="45"/>
      <c r="H32" s="45"/>
    </row>
    <row r="33" ht="24.0" customHeight="1">
      <c r="A33" s="69" t="s">
        <v>193</v>
      </c>
      <c r="H33" s="45"/>
    </row>
    <row r="34">
      <c r="A34" s="64" t="s">
        <v>196</v>
      </c>
      <c r="B34" s="64" t="s">
        <v>197</v>
      </c>
      <c r="C34" s="64" t="s">
        <v>199</v>
      </c>
      <c r="D34" s="64" t="s">
        <v>200</v>
      </c>
      <c r="E34" s="64" t="s">
        <v>201</v>
      </c>
      <c r="F34" s="64" t="s">
        <v>202</v>
      </c>
      <c r="G34" s="64" t="s">
        <v>204</v>
      </c>
      <c r="H34" s="45"/>
    </row>
    <row r="35">
      <c r="A35" s="70" t="s">
        <v>206</v>
      </c>
      <c r="B35" s="66" t="s">
        <v>210</v>
      </c>
      <c r="C35" s="66" t="s">
        <v>211</v>
      </c>
      <c r="D35" s="66" t="s">
        <v>213</v>
      </c>
      <c r="E35" s="66" t="s">
        <v>214</v>
      </c>
      <c r="F35" s="66" t="s">
        <v>215</v>
      </c>
      <c r="G35" s="71" t="s">
        <v>218</v>
      </c>
      <c r="H35" s="45"/>
    </row>
    <row r="36">
      <c r="A36" s="72" t="s">
        <v>221</v>
      </c>
      <c r="B36" s="67" t="s">
        <v>222</v>
      </c>
      <c r="C36" s="67" t="s">
        <v>223</v>
      </c>
      <c r="D36" s="67" t="s">
        <v>224</v>
      </c>
      <c r="E36" s="67" t="s">
        <v>225</v>
      </c>
      <c r="F36" s="67" t="s">
        <v>226</v>
      </c>
      <c r="G36" s="73" t="s">
        <v>227</v>
      </c>
      <c r="H36" s="45"/>
    </row>
    <row r="37">
      <c r="A37" s="70" t="s">
        <v>228</v>
      </c>
      <c r="B37" s="66" t="s">
        <v>229</v>
      </c>
      <c r="C37" s="66" t="s">
        <v>230</v>
      </c>
      <c r="D37" s="66" t="s">
        <v>231</v>
      </c>
      <c r="E37" s="66" t="s">
        <v>232</v>
      </c>
      <c r="F37" s="66" t="s">
        <v>233</v>
      </c>
      <c r="G37" s="71" t="s">
        <v>234</v>
      </c>
      <c r="H37" s="45"/>
    </row>
    <row r="38">
      <c r="A38" s="72" t="s">
        <v>235</v>
      </c>
      <c r="B38" s="67" t="s">
        <v>236</v>
      </c>
      <c r="C38" s="67" t="s">
        <v>237</v>
      </c>
      <c r="D38" s="67" t="s">
        <v>238</v>
      </c>
      <c r="E38" s="67" t="s">
        <v>239</v>
      </c>
      <c r="F38" s="67" t="s">
        <v>240</v>
      </c>
      <c r="G38" s="73" t="s">
        <v>241</v>
      </c>
      <c r="H38" s="45"/>
    </row>
    <row r="39">
      <c r="A39" s="70" t="s">
        <v>242</v>
      </c>
      <c r="B39" s="66" t="s">
        <v>243</v>
      </c>
      <c r="C39" s="66" t="s">
        <v>244</v>
      </c>
      <c r="D39" s="66" t="s">
        <v>245</v>
      </c>
      <c r="E39" s="66" t="s">
        <v>246</v>
      </c>
      <c r="F39" s="66" t="s">
        <v>247</v>
      </c>
      <c r="G39" s="71" t="s">
        <v>248</v>
      </c>
      <c r="H39" s="45"/>
    </row>
    <row r="40">
      <c r="A40" s="72" t="s">
        <v>249</v>
      </c>
      <c r="B40" s="67" t="s">
        <v>250</v>
      </c>
      <c r="C40" s="67" t="s">
        <v>251</v>
      </c>
      <c r="D40" s="67" t="s">
        <v>252</v>
      </c>
      <c r="E40" s="67" t="s">
        <v>253</v>
      </c>
      <c r="F40" s="67" t="s">
        <v>254</v>
      </c>
      <c r="G40" s="73" t="s">
        <v>255</v>
      </c>
      <c r="H40" s="45"/>
    </row>
    <row r="41">
      <c r="A41" s="70" t="s">
        <v>256</v>
      </c>
      <c r="B41" s="66" t="s">
        <v>257</v>
      </c>
      <c r="C41" s="66" t="s">
        <v>258</v>
      </c>
      <c r="D41" s="66" t="s">
        <v>259</v>
      </c>
      <c r="E41" s="66" t="s">
        <v>260</v>
      </c>
      <c r="F41" s="66" t="s">
        <v>261</v>
      </c>
      <c r="G41" s="71" t="s">
        <v>262</v>
      </c>
      <c r="H41" s="45"/>
    </row>
    <row r="42">
      <c r="A42" s="72" t="s">
        <v>263</v>
      </c>
      <c r="B42" s="67" t="s">
        <v>264</v>
      </c>
      <c r="C42" s="67" t="s">
        <v>265</v>
      </c>
      <c r="D42" s="67" t="s">
        <v>266</v>
      </c>
      <c r="E42" s="67" t="s">
        <v>267</v>
      </c>
      <c r="F42" s="67" t="s">
        <v>268</v>
      </c>
      <c r="G42" s="73" t="s">
        <v>269</v>
      </c>
      <c r="H42" s="45"/>
    </row>
    <row r="43">
      <c r="A43" s="70" t="s">
        <v>270</v>
      </c>
      <c r="B43" s="66" t="s">
        <v>271</v>
      </c>
      <c r="C43" s="66" t="s">
        <v>272</v>
      </c>
      <c r="D43" s="66" t="s">
        <v>273</v>
      </c>
      <c r="E43" s="66" t="s">
        <v>253</v>
      </c>
      <c r="F43" s="66" t="s">
        <v>274</v>
      </c>
      <c r="G43" s="71" t="s">
        <v>275</v>
      </c>
      <c r="H43" s="45"/>
    </row>
    <row r="44">
      <c r="A44" s="72" t="s">
        <v>276</v>
      </c>
      <c r="B44" s="67" t="s">
        <v>277</v>
      </c>
      <c r="C44" s="67" t="s">
        <v>278</v>
      </c>
      <c r="D44" s="67" t="s">
        <v>279</v>
      </c>
      <c r="E44" s="67" t="s">
        <v>239</v>
      </c>
      <c r="F44" s="67" t="s">
        <v>280</v>
      </c>
      <c r="G44" s="73" t="s">
        <v>281</v>
      </c>
      <c r="H44" s="45"/>
    </row>
    <row r="45">
      <c r="A45" s="45"/>
      <c r="B45" s="45"/>
      <c r="C45" s="45"/>
      <c r="D45" s="45"/>
      <c r="E45" s="45"/>
      <c r="F45" s="45"/>
      <c r="G45" s="45"/>
      <c r="H45" s="45"/>
    </row>
    <row r="46">
      <c r="A46" s="45"/>
      <c r="B46" s="45"/>
      <c r="C46" s="45"/>
      <c r="D46" s="45"/>
      <c r="E46" s="45"/>
      <c r="F46" s="45"/>
      <c r="G46" s="45"/>
      <c r="H46" s="45"/>
    </row>
    <row r="47" ht="24.0" customHeight="1">
      <c r="A47" s="69" t="s">
        <v>282</v>
      </c>
      <c r="E47" s="45"/>
      <c r="F47" s="69" t="s">
        <v>283</v>
      </c>
    </row>
    <row r="48">
      <c r="A48" s="64" t="s">
        <v>23</v>
      </c>
      <c r="B48" s="64" t="s">
        <v>284</v>
      </c>
      <c r="C48" s="64" t="s">
        <v>285</v>
      </c>
      <c r="D48" s="64" t="s">
        <v>286</v>
      </c>
      <c r="E48" s="45"/>
      <c r="F48" s="64" t="s">
        <v>23</v>
      </c>
      <c r="G48" s="64" t="s">
        <v>287</v>
      </c>
      <c r="H48" s="64" t="s">
        <v>288</v>
      </c>
    </row>
    <row r="49">
      <c r="A49" s="71">
        <v>1.0</v>
      </c>
      <c r="B49" s="66" t="s">
        <v>289</v>
      </c>
      <c r="C49" s="70" t="s">
        <v>290</v>
      </c>
      <c r="D49" s="66" t="s">
        <v>291</v>
      </c>
      <c r="E49" s="45"/>
      <c r="F49" s="71">
        <v>1.0</v>
      </c>
      <c r="G49" s="70" t="s">
        <v>292</v>
      </c>
      <c r="H49" s="66" t="s">
        <v>293</v>
      </c>
    </row>
    <row r="50">
      <c r="A50" s="73">
        <v>2.0</v>
      </c>
      <c r="B50" s="67" t="s">
        <v>289</v>
      </c>
      <c r="C50" s="72" t="s">
        <v>294</v>
      </c>
      <c r="D50" s="67" t="s">
        <v>295</v>
      </c>
      <c r="E50" s="45"/>
      <c r="F50" s="73">
        <v>2.0</v>
      </c>
      <c r="G50" s="72" t="s">
        <v>296</v>
      </c>
      <c r="H50" s="67" t="s">
        <v>297</v>
      </c>
    </row>
    <row r="51">
      <c r="A51" s="71">
        <v>3.0</v>
      </c>
      <c r="B51" s="66" t="s">
        <v>289</v>
      </c>
      <c r="C51" s="70" t="s">
        <v>298</v>
      </c>
      <c r="D51" s="66" t="s">
        <v>299</v>
      </c>
      <c r="E51" s="45"/>
      <c r="F51" s="71">
        <v>3.0</v>
      </c>
      <c r="G51" s="70" t="s">
        <v>300</v>
      </c>
      <c r="H51" s="66" t="s">
        <v>301</v>
      </c>
    </row>
    <row r="52">
      <c r="A52" s="73">
        <v>4.0</v>
      </c>
      <c r="B52" s="67" t="s">
        <v>289</v>
      </c>
      <c r="C52" s="72" t="s">
        <v>302</v>
      </c>
      <c r="D52" s="67" t="s">
        <v>303</v>
      </c>
      <c r="E52" s="45"/>
      <c r="F52" s="73">
        <v>4.0</v>
      </c>
      <c r="G52" s="72" t="s">
        <v>304</v>
      </c>
      <c r="H52" s="67" t="s">
        <v>305</v>
      </c>
    </row>
    <row r="53">
      <c r="A53" s="71">
        <v>5.0</v>
      </c>
      <c r="B53" s="66" t="s">
        <v>306</v>
      </c>
      <c r="C53" s="70" t="s">
        <v>307</v>
      </c>
      <c r="D53" s="66" t="s">
        <v>308</v>
      </c>
      <c r="E53" s="45"/>
      <c r="F53" s="71">
        <v>5.0</v>
      </c>
      <c r="G53" s="70" t="s">
        <v>309</v>
      </c>
      <c r="H53" s="66" t="s">
        <v>310</v>
      </c>
    </row>
    <row r="54">
      <c r="A54" s="73">
        <v>6.0</v>
      </c>
      <c r="B54" s="67" t="s">
        <v>306</v>
      </c>
      <c r="C54" s="72" t="s">
        <v>311</v>
      </c>
      <c r="D54" s="67" t="s">
        <v>312</v>
      </c>
      <c r="E54" s="45"/>
      <c r="F54" s="73">
        <v>6.0</v>
      </c>
      <c r="G54" s="72" t="s">
        <v>313</v>
      </c>
      <c r="H54" s="67" t="s">
        <v>314</v>
      </c>
    </row>
    <row r="55">
      <c r="A55" s="71">
        <v>7.0</v>
      </c>
      <c r="B55" s="66" t="s">
        <v>306</v>
      </c>
      <c r="C55" s="70" t="s">
        <v>315</v>
      </c>
      <c r="D55" s="66" t="s">
        <v>316</v>
      </c>
      <c r="E55" s="45"/>
      <c r="F55" s="71">
        <v>7.0</v>
      </c>
      <c r="G55" s="70" t="s">
        <v>317</v>
      </c>
      <c r="H55" s="66" t="s">
        <v>318</v>
      </c>
    </row>
    <row r="56">
      <c r="A56" s="73">
        <v>8.0</v>
      </c>
      <c r="B56" s="67" t="s">
        <v>306</v>
      </c>
      <c r="C56" s="72" t="s">
        <v>319</v>
      </c>
      <c r="D56" s="67" t="s">
        <v>320</v>
      </c>
      <c r="E56" s="45"/>
      <c r="F56" s="73">
        <v>8.0</v>
      </c>
      <c r="G56" s="72" t="s">
        <v>321</v>
      </c>
      <c r="H56" s="67" t="s">
        <v>322</v>
      </c>
    </row>
    <row r="57">
      <c r="A57" s="71">
        <v>9.0</v>
      </c>
      <c r="B57" s="66" t="s">
        <v>323</v>
      </c>
      <c r="C57" s="70" t="s">
        <v>324</v>
      </c>
      <c r="D57" s="66" t="s">
        <v>325</v>
      </c>
      <c r="E57" s="45"/>
      <c r="F57" s="71">
        <v>9.0</v>
      </c>
      <c r="G57" s="70" t="s">
        <v>326</v>
      </c>
      <c r="H57" s="66" t="s">
        <v>327</v>
      </c>
    </row>
    <row r="58">
      <c r="A58" s="73">
        <v>10.0</v>
      </c>
      <c r="B58" s="67" t="s">
        <v>323</v>
      </c>
      <c r="C58" s="72" t="s">
        <v>328</v>
      </c>
      <c r="D58" s="67" t="s">
        <v>329</v>
      </c>
      <c r="E58" s="45"/>
      <c r="F58" s="45"/>
      <c r="G58" s="45"/>
      <c r="H58" s="45"/>
    </row>
    <row r="59">
      <c r="A59" s="71">
        <v>11.0</v>
      </c>
      <c r="B59" s="66" t="s">
        <v>323</v>
      </c>
      <c r="C59" s="70" t="s">
        <v>330</v>
      </c>
      <c r="D59" s="66" t="s">
        <v>331</v>
      </c>
      <c r="E59" s="45"/>
      <c r="F59" s="45"/>
      <c r="G59" s="45"/>
      <c r="H59" s="45"/>
    </row>
    <row r="60">
      <c r="A60" s="45"/>
      <c r="B60" s="45"/>
      <c r="C60" s="45"/>
      <c r="D60" s="45"/>
      <c r="E60" s="45"/>
      <c r="F60" s="45"/>
      <c r="G60" s="45"/>
      <c r="H60" s="45"/>
    </row>
    <row r="61">
      <c r="A61" s="45"/>
      <c r="B61" s="45"/>
      <c r="C61" s="45"/>
      <c r="D61" s="45"/>
      <c r="E61" s="45"/>
      <c r="F61" s="45"/>
      <c r="G61" s="45"/>
      <c r="H61" s="45"/>
    </row>
    <row r="62">
      <c r="A62" s="45"/>
      <c r="B62" s="45"/>
      <c r="C62" s="45"/>
      <c r="D62" s="45"/>
      <c r="E62" s="45"/>
      <c r="F62" s="45"/>
      <c r="G62" s="45"/>
      <c r="H62" s="45"/>
    </row>
    <row r="63" ht="24.0" customHeight="1">
      <c r="A63" s="69" t="s">
        <v>332</v>
      </c>
      <c r="E63" s="45"/>
      <c r="F63" s="45"/>
      <c r="G63" s="45"/>
      <c r="H63" s="45"/>
    </row>
    <row r="64">
      <c r="A64" s="64" t="s">
        <v>333</v>
      </c>
      <c r="B64" s="64" t="s">
        <v>334</v>
      </c>
      <c r="C64" s="64" t="s">
        <v>335</v>
      </c>
      <c r="D64" s="64" t="s">
        <v>336</v>
      </c>
      <c r="E64" s="45"/>
      <c r="F64" s="45"/>
      <c r="G64" s="45"/>
      <c r="H64" s="45"/>
    </row>
    <row r="65">
      <c r="A65" s="70" t="s">
        <v>337</v>
      </c>
      <c r="B65" s="71" t="s">
        <v>338</v>
      </c>
      <c r="C65" s="66" t="s">
        <v>339</v>
      </c>
      <c r="D65" s="66" t="s">
        <v>340</v>
      </c>
      <c r="E65" s="45"/>
      <c r="F65" s="45"/>
      <c r="G65" s="45"/>
      <c r="H65" s="45"/>
    </row>
    <row r="66">
      <c r="A66" s="72" t="s">
        <v>341</v>
      </c>
      <c r="B66" s="73" t="s">
        <v>342</v>
      </c>
      <c r="C66" s="67" t="s">
        <v>343</v>
      </c>
      <c r="D66" s="67" t="s">
        <v>344</v>
      </c>
      <c r="E66" s="45"/>
      <c r="F66" s="45"/>
      <c r="G66" s="45"/>
      <c r="H66" s="45"/>
    </row>
    <row r="67">
      <c r="A67" s="70" t="s">
        <v>345</v>
      </c>
      <c r="B67" s="71" t="s">
        <v>346</v>
      </c>
      <c r="C67" s="66" t="s">
        <v>347</v>
      </c>
      <c r="D67" s="66" t="s">
        <v>348</v>
      </c>
      <c r="E67" s="45"/>
      <c r="F67" s="45"/>
      <c r="G67" s="45"/>
      <c r="H67" s="45"/>
    </row>
    <row r="68">
      <c r="A68" s="72" t="s">
        <v>349</v>
      </c>
      <c r="B68" s="73" t="s">
        <v>350</v>
      </c>
      <c r="C68" s="67" t="s">
        <v>351</v>
      </c>
      <c r="D68" s="67" t="s">
        <v>352</v>
      </c>
      <c r="E68" s="45"/>
      <c r="F68" s="45"/>
      <c r="G68" s="45"/>
      <c r="H68" s="45"/>
    </row>
    <row r="69">
      <c r="A69" s="45"/>
      <c r="B69" s="45"/>
      <c r="C69" s="45"/>
      <c r="D69" s="45"/>
      <c r="E69" s="45"/>
      <c r="F69" s="45"/>
      <c r="G69" s="45"/>
      <c r="H69" s="45"/>
    </row>
    <row r="70">
      <c r="A70" s="45"/>
      <c r="B70" s="45"/>
      <c r="C70" s="45"/>
      <c r="D70" s="74" t="s">
        <v>353</v>
      </c>
      <c r="E70" s="45"/>
      <c r="F70" s="45"/>
      <c r="G70" s="45"/>
      <c r="H70" s="45"/>
    </row>
    <row r="71">
      <c r="D71" s="75"/>
    </row>
    <row r="72">
      <c r="D72" s="74" t="s">
        <v>354</v>
      </c>
    </row>
    <row r="73">
      <c r="D73" s="75"/>
    </row>
    <row r="74">
      <c r="D74" s="74" t="s">
        <v>355</v>
      </c>
    </row>
    <row r="75">
      <c r="D75" s="74" t="s">
        <v>356</v>
      </c>
    </row>
    <row r="76">
      <c r="D76" s="74"/>
    </row>
    <row r="77">
      <c r="D77" s="74" t="s">
        <v>357</v>
      </c>
    </row>
    <row r="78">
      <c r="D78" s="74"/>
    </row>
    <row r="79">
      <c r="D79" s="74" t="s">
        <v>358</v>
      </c>
    </row>
    <row r="80">
      <c r="D80" s="74" t="s">
        <v>359</v>
      </c>
    </row>
    <row r="81">
      <c r="D81" s="74" t="s">
        <v>360</v>
      </c>
    </row>
    <row r="82">
      <c r="D82" s="74" t="s">
        <v>361</v>
      </c>
    </row>
    <row r="83">
      <c r="D83" s="74" t="s">
        <v>362</v>
      </c>
    </row>
    <row r="84">
      <c r="D84" s="74" t="s">
        <v>363</v>
      </c>
    </row>
    <row r="85">
      <c r="D85" s="74" t="s">
        <v>364</v>
      </c>
    </row>
    <row r="86">
      <c r="D86" s="75"/>
    </row>
    <row r="87">
      <c r="D87" s="74" t="s">
        <v>365</v>
      </c>
    </row>
    <row r="88">
      <c r="D88" s="75"/>
    </row>
    <row r="89">
      <c r="D89" s="74" t="s">
        <v>366</v>
      </c>
    </row>
    <row r="90">
      <c r="D90" s="74" t="s">
        <v>367</v>
      </c>
    </row>
    <row r="91">
      <c r="D91" s="74" t="s">
        <v>368</v>
      </c>
    </row>
    <row r="92">
      <c r="D92" s="74" t="s">
        <v>369</v>
      </c>
    </row>
    <row r="93">
      <c r="D93" s="74" t="s">
        <v>370</v>
      </c>
    </row>
    <row r="94">
      <c r="D94" s="74" t="s">
        <v>371</v>
      </c>
    </row>
    <row r="95">
      <c r="D95" s="74" t="s">
        <v>372</v>
      </c>
    </row>
    <row r="96">
      <c r="D96" s="75"/>
    </row>
    <row r="97">
      <c r="D97" s="74" t="s">
        <v>373</v>
      </c>
    </row>
    <row r="98">
      <c r="D98" s="75"/>
    </row>
    <row r="99">
      <c r="D99" s="74" t="s">
        <v>374</v>
      </c>
    </row>
    <row r="100">
      <c r="D100" s="74" t="s">
        <v>375</v>
      </c>
    </row>
    <row r="101">
      <c r="D101" s="74" t="s">
        <v>376</v>
      </c>
    </row>
    <row r="102">
      <c r="D102" s="74" t="s">
        <v>377</v>
      </c>
    </row>
    <row r="103">
      <c r="D103" s="74" t="s">
        <v>378</v>
      </c>
    </row>
    <row r="104">
      <c r="D104" s="74" t="s">
        <v>379</v>
      </c>
    </row>
    <row r="105">
      <c r="D105" s="74" t="s">
        <v>380</v>
      </c>
    </row>
    <row r="106">
      <c r="D106" s="75"/>
    </row>
    <row r="107">
      <c r="D107" s="74" t="s">
        <v>381</v>
      </c>
    </row>
    <row r="108">
      <c r="D108" s="75"/>
    </row>
    <row r="109">
      <c r="D109" s="74" t="s">
        <v>382</v>
      </c>
    </row>
    <row r="110">
      <c r="D110" s="74" t="s">
        <v>383</v>
      </c>
    </row>
    <row r="111">
      <c r="D111" s="74" t="s">
        <v>384</v>
      </c>
    </row>
    <row r="112">
      <c r="D112" s="74" t="s">
        <v>385</v>
      </c>
    </row>
    <row r="113">
      <c r="D113" s="74" t="s">
        <v>386</v>
      </c>
    </row>
    <row r="114">
      <c r="D114" s="74" t="s">
        <v>387</v>
      </c>
    </row>
    <row r="115">
      <c r="D115" s="74" t="s">
        <v>388</v>
      </c>
    </row>
    <row r="116">
      <c r="D116" s="74" t="s">
        <v>389</v>
      </c>
    </row>
    <row r="117">
      <c r="D117" s="74" t="s">
        <v>383</v>
      </c>
    </row>
    <row r="118">
      <c r="D118" s="74" t="s">
        <v>390</v>
      </c>
    </row>
    <row r="119">
      <c r="D119" s="74" t="s">
        <v>391</v>
      </c>
    </row>
    <row r="120">
      <c r="D120" s="74" t="s">
        <v>392</v>
      </c>
    </row>
    <row r="121">
      <c r="D121" s="74" t="s">
        <v>393</v>
      </c>
    </row>
    <row r="122">
      <c r="D122" s="74" t="s">
        <v>394</v>
      </c>
    </row>
    <row r="123">
      <c r="D123" s="75"/>
    </row>
    <row r="124">
      <c r="D124" s="74" t="s">
        <v>395</v>
      </c>
    </row>
    <row r="125">
      <c r="D125" s="75"/>
    </row>
    <row r="126">
      <c r="D126" s="74" t="s">
        <v>396</v>
      </c>
    </row>
    <row r="127">
      <c r="D127" s="74" t="s">
        <v>397</v>
      </c>
    </row>
    <row r="128">
      <c r="D128" s="74" t="s">
        <v>398</v>
      </c>
    </row>
    <row r="129">
      <c r="D129" s="74" t="s">
        <v>399</v>
      </c>
    </row>
    <row r="130">
      <c r="D130" s="74" t="s">
        <v>400</v>
      </c>
    </row>
    <row r="131">
      <c r="D131" s="75"/>
    </row>
    <row r="132">
      <c r="D132" s="74" t="s">
        <v>401</v>
      </c>
    </row>
    <row r="133">
      <c r="D133" s="75"/>
    </row>
    <row r="134">
      <c r="D134" s="74" t="s">
        <v>402</v>
      </c>
    </row>
    <row r="135">
      <c r="D135" s="74" t="s">
        <v>403</v>
      </c>
    </row>
    <row r="136">
      <c r="D136" s="74" t="s">
        <v>404</v>
      </c>
    </row>
    <row r="137">
      <c r="D137" s="74" t="s">
        <v>405</v>
      </c>
    </row>
  </sheetData>
  <mergeCells count="8">
    <mergeCell ref="A2:B2"/>
    <mergeCell ref="A6:A11"/>
    <mergeCell ref="A19:G19"/>
    <mergeCell ref="A20:G20"/>
    <mergeCell ref="A33:G33"/>
    <mergeCell ref="A47:D47"/>
    <mergeCell ref="F47:H47"/>
    <mergeCell ref="A63:D63"/>
  </mergeCells>
  <drawing r:id="rId1"/>
</worksheet>
</file>